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ADD299F3-EFFF-4A02-A820-41BB529E329B}" xr6:coauthVersionLast="47" xr6:coauthVersionMax="47" xr10:uidLastSave="{00000000-0000-0000-0000-000000000000}"/>
  <bookViews>
    <workbookView xWindow="240" yWindow="105" windowWidth="14805" windowHeight="8010" firstSheet="2" activeTab="1" xr2:uid="{00000000-000D-0000-FFFF-FFFF00000000}"/>
  </bookViews>
  <sheets>
    <sheet name="Key" sheetId="1" r:id="rId1"/>
    <sheet name="Data" sheetId="2" r:id="rId2"/>
    <sheet name="Analysi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" i="3" l="1"/>
  <c r="D102" i="3"/>
  <c r="D101" i="3"/>
  <c r="D100" i="3"/>
  <c r="D99" i="3"/>
  <c r="D96" i="3"/>
  <c r="D95" i="3"/>
  <c r="D94" i="3"/>
  <c r="D93" i="3"/>
  <c r="D92" i="3"/>
  <c r="D85" i="3"/>
  <c r="D89" i="3"/>
  <c r="D88" i="3"/>
  <c r="D87" i="3"/>
  <c r="D86" i="3"/>
  <c r="D78" i="3"/>
  <c r="D82" i="3"/>
  <c r="D81" i="3"/>
  <c r="D80" i="3"/>
  <c r="D79" i="3"/>
  <c r="D71" i="3"/>
  <c r="D72" i="3"/>
  <c r="D75" i="3"/>
  <c r="D74" i="3"/>
  <c r="D73" i="3"/>
  <c r="D68" i="3"/>
  <c r="D67" i="3"/>
  <c r="D66" i="3"/>
  <c r="D65" i="3"/>
  <c r="D64" i="3"/>
  <c r="D61" i="3"/>
  <c r="D60" i="3"/>
  <c r="D59" i="3"/>
  <c r="D58" i="3"/>
  <c r="D57" i="3"/>
  <c r="D54" i="3"/>
  <c r="D53" i="3"/>
  <c r="D52" i="3"/>
  <c r="D51" i="3"/>
  <c r="D50" i="3"/>
  <c r="D47" i="3"/>
  <c r="D46" i="3"/>
  <c r="D45" i="3"/>
  <c r="D44" i="3"/>
  <c r="D43" i="3"/>
  <c r="D35" i="3"/>
  <c r="D36" i="3"/>
  <c r="D32" i="3"/>
  <c r="D31" i="3"/>
  <c r="D28" i="3"/>
  <c r="D27" i="3"/>
  <c r="D24" i="3"/>
  <c r="D23" i="3"/>
  <c r="D20" i="3"/>
  <c r="D19" i="3"/>
  <c r="B103" i="3"/>
  <c r="B102" i="3"/>
  <c r="B101" i="3"/>
  <c r="B100" i="3"/>
  <c r="B99" i="3"/>
  <c r="B92" i="3"/>
  <c r="B96" i="3"/>
  <c r="B95" i="3"/>
  <c r="B94" i="3"/>
  <c r="B93" i="3"/>
  <c r="B89" i="3"/>
  <c r="B88" i="3"/>
  <c r="B87" i="3"/>
  <c r="B86" i="3"/>
  <c r="B85" i="3"/>
  <c r="B78" i="3"/>
  <c r="B82" i="3"/>
  <c r="B81" i="3"/>
  <c r="B80" i="3"/>
  <c r="B79" i="3"/>
  <c r="B71" i="3"/>
  <c r="B75" i="3"/>
  <c r="B74" i="3"/>
  <c r="B73" i="3"/>
  <c r="B72" i="3"/>
  <c r="B68" i="3"/>
  <c r="B67" i="3"/>
  <c r="B66" i="3"/>
  <c r="B65" i="3"/>
  <c r="B64" i="3"/>
  <c r="B61" i="3"/>
  <c r="B60" i="3"/>
  <c r="B59" i="3"/>
  <c r="B58" i="3"/>
  <c r="B57" i="3"/>
  <c r="B50" i="3"/>
  <c r="B54" i="3"/>
  <c r="B53" i="3"/>
  <c r="B52" i="3"/>
  <c r="B51" i="3"/>
  <c r="B43" i="3"/>
  <c r="B47" i="3"/>
  <c r="B46" i="3"/>
  <c r="B45" i="3"/>
  <c r="B44" i="3"/>
  <c r="B39" i="3"/>
  <c r="B40" i="3"/>
  <c r="B35" i="3"/>
  <c r="B36" i="3"/>
  <c r="B31" i="3"/>
  <c r="B32" i="3"/>
  <c r="B27" i="3"/>
  <c r="B28" i="3"/>
  <c r="B23" i="3"/>
  <c r="B24" i="3"/>
  <c r="B19" i="3"/>
  <c r="B20" i="3"/>
  <c r="B16" i="3"/>
  <c r="B14" i="3"/>
  <c r="B13" i="3"/>
  <c r="B12" i="3"/>
  <c r="B11" i="3"/>
  <c r="B10" i="3"/>
  <c r="B7" i="3"/>
  <c r="B6" i="3"/>
  <c r="B3" i="3"/>
  <c r="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tc={33D419CE-8141-4583-AE6A-3D727C04A701}</author>
    <author>tc={907080E5-C2B5-4AE2-A95B-843C54D25FCA}</author>
    <author>tc={D31E2794-ACBE-4C90-9117-D8AF69B31FDE}</author>
    <author>tc={3DF81682-6773-4DC1-814C-039F1C679092}</author>
    <author>tc={FD7D2310-01F3-4B0C-8173-AC6A1FCE099D}</author>
    <author>tc={1FF42964-DD93-4415-806C-F883E938DC9A}</author>
    <author>tc={83FEE778-2FCF-47E8-8161-560F2260FFED}</author>
    <author>tc={73D8FF78-7209-4236-A6E2-D1380C1334E0}</author>
    <author>tc={AA1E9AC0-C020-463F-86BE-90B382E5B4CD}</author>
    <author>tc={DA2FFC29-5BFF-4A0F-B0DD-2C842A1B4552}</author>
    <author>tc={843BE30A-09FE-41CE-9D99-3B2AB731E516}</author>
    <author>tc={5BC5EBF9-84E2-4D66-9BE6-E00921B15F45}</author>
    <author>tc={CE6C999E-DE19-434F-9D5A-63D984FCF229}</author>
    <author>tc={2C96391A-5A48-436C-A613-E309BB6EB60D}</author>
    <author>tc={83FF6EEA-1453-4598-8EB4-40D7E500D323}</author>
    <author>tc={9080B570-ECD6-48AE-A041-EE21A8ED46E7}</author>
    <author>tc={122202E8-C9C0-43B3-B288-56C2A99E9258}</author>
    <author>tc={C2C20C1B-A298-4944-9533-9BEA735ADA24}</author>
  </authors>
  <commentList>
    <comment ref="A36" authorId="0" shapeId="0" xr:uid="{33D419CE-8141-4583-AE6A-3D727C04A701}">
      <text>
        <t>[Threaded comment]
Your version of Excel allows you to read this threaded comment; however, any edits to it will get removed if the file is opened in a newer version of Excel. Learn more: https://go.microsoft.com/fwlink/?linkid=870924
Comment:
    Assessing a parent-infant dyad for NOWS?</t>
      </text>
    </comment>
    <comment ref="A41" authorId="1" shapeId="0" xr:uid="{907080E5-C2B5-4AE2-A95B-843C54D25FCA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Counseling parents on the Eat, Sleep, Console method?</t>
      </text>
    </comment>
    <comment ref="A46" authorId="2" shapeId="0" xr:uid="{D31E2794-ACBE-4C90-9117-D8AF69B31FD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Managing infants with NOWS?</t>
      </text>
    </comment>
    <comment ref="A51" authorId="3" shapeId="0" xr:uid="{3DF81682-6773-4DC1-814C-039F1C6790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Providing post-discharge resources for parent-infant dyads affected by NOWS?</t>
      </text>
    </comment>
    <comment ref="A56" authorId="4" shapeId="0" xr:uid="{FD7D2310-01F3-4B0C-8173-AC6A1FCE09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Performing urine or meconium toxicology testing is the best way to decide if an infant is at risk for NOWS because the parent may not disclose their use. </t>
      </text>
    </comment>
    <comment ref="A61" authorId="5" shapeId="0" xr:uid="{1FF42964-DD93-4415-806C-F883E938DC9A}">
      <text>
        <t>[Threaded comment]
Your version of Excel allows you to read this threaded comment; however, any edits to it will get removed if the file is opened in a newer version of Excel. Learn more: https://go.microsoft.com/fwlink/?linkid=870924
Comment:
    Parents of infants at risk for NOWS are capable of being key participants in a NOWS care plan.</t>
      </text>
    </comment>
    <comment ref="A66" authorId="6" shapeId="0" xr:uid="{83FEE778-2FCF-47E8-8161-560F2260FFED}">
      <text>
        <t>[Threaded comment]
Your version of Excel allows you to read this threaded comment; however, any edits to it will get removed if the file is opened in a newer version of Excel. Learn more: https://go.microsoft.com/fwlink/?linkid=870924
Comment:
    Parents with opioid use problems are less likely to adhere to instructions for consoling their infant.</t>
      </text>
    </comment>
    <comment ref="A71" authorId="7" shapeId="0" xr:uid="{73D8FF78-7209-4236-A6E2-D1380C1334E0}">
      <text>
        <t>[Threaded comment]
Your version of Excel allows you to read this threaded comment; however, any edits to it will get removed if the file is opened in a newer version of Excel. Learn more: https://go.microsoft.com/fwlink/?linkid=870924
Comment:
    Parents of infants with NOWS are likely to pose safety risks to the infant and should be reported to Administration for Children Services (ACS).</t>
      </text>
    </comment>
    <comment ref="A76" authorId="8" shapeId="0" xr:uid="{AA1E9AC0-C020-463F-86BE-90B382E5B4CD}">
      <text>
        <t>[Threaded comment]
Your version of Excel allows you to read this threaded comment; however, any edits to it will get removed if the file is opened in a newer version of Excel. Learn more: https://go.microsoft.com/fwlink/?linkid=870924
Comment:
    Parents of infants at risk for NOWS should be discouraged from breastfeeding because they might not have custody of the infant long-term.</t>
      </text>
    </comment>
    <comment ref="A91" authorId="9" shapeId="0" xr:uid="{DA2FFC29-5BFF-4A0F-B0DD-2C842A1B4552}">
      <text>
        <t>[Threaded comment]
Your version of Excel allows you to read this threaded comment; however, any edits to it will get removed if the file is opened in a newer version of Excel. Learn more: https://go.microsoft.com/fwlink/?linkid=870924
Comment:
    Assessing a parent-infant dyad for NOWS?</t>
      </text>
    </comment>
    <comment ref="A96" authorId="10" shapeId="0" xr:uid="{843BE30A-09FE-41CE-9D99-3B2AB731E516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Counseling parents on the Eat, Sleep, Console method?</t>
      </text>
    </comment>
    <comment ref="A101" authorId="11" shapeId="0" xr:uid="{5BC5EBF9-84E2-4D66-9BE6-E00921B15F4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Managing infants with NOWS?</t>
      </text>
    </comment>
    <comment ref="A106" authorId="12" shapeId="0" xr:uid="{CE6C999E-DE19-434F-9D5A-63D984FCF2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Providing post-discharge resources for parent-infant dyads affected by NOWS?</t>
      </text>
    </comment>
    <comment ref="A111" authorId="13" shapeId="0" xr:uid="{2C96391A-5A48-436C-A613-E309BB6EB6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Performing urine or meconium toxicology testing is the best way to decide if an infant is at risk for NOWS because the parent may not disclose their use. </t>
      </text>
    </comment>
    <comment ref="A116" authorId="14" shapeId="0" xr:uid="{83FF6EEA-1453-4598-8EB4-40D7E500D323}">
      <text>
        <t>[Threaded comment]
Your version of Excel allows you to read this threaded comment; however, any edits to it will get removed if the file is opened in a newer version of Excel. Learn more: https://go.microsoft.com/fwlink/?linkid=870924
Comment:
    Parents of infants at risk for NOWS are capable of being key participants in a NOWS care plan.</t>
      </text>
    </comment>
    <comment ref="A121" authorId="15" shapeId="0" xr:uid="{9080B570-ECD6-48AE-A041-EE21A8ED46E7}">
      <text>
        <t>[Threaded comment]
Your version of Excel allows you to read this threaded comment; however, any edits to it will get removed if the file is opened in a newer version of Excel. Learn more: https://go.microsoft.com/fwlink/?linkid=870924
Comment:
    Parents with opioid use problems are less likely to adhere to instructions for consoling their infant.</t>
      </text>
    </comment>
    <comment ref="A126" authorId="16" shapeId="0" xr:uid="{122202E8-C9C0-43B3-B288-56C2A99E9258}">
      <text>
        <t>[Threaded comment]
Your version of Excel allows you to read this threaded comment; however, any edits to it will get removed if the file is opened in a newer version of Excel. Learn more: https://go.microsoft.com/fwlink/?linkid=870924
Comment:
    Parents of infants with NOWS are likely to pose safety risks to the infant and should be reported to Administration for Children Services (ACS).</t>
      </text>
    </comment>
    <comment ref="A131" authorId="17" shapeId="0" xr:uid="{C2C20C1B-A298-4944-9533-9BEA735ADA24}">
      <text>
        <t>[Threaded comment]
Your version of Excel allows you to read this threaded comment; however, any edits to it will get removed if the file is opened in a newer version of Excel. Learn more: https://go.microsoft.com/fwlink/?linkid=870924
Comment:
    Parents of infants at risk for NOWS should be discouraged from breastfeeding because they might not have custody of the infant long-term.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tc={24A38B13-1DEA-4685-87DC-FE70A72254DB}</author>
    <author>tc={6935679D-60F2-4759-A35B-509919EC00F2}</author>
    <author>tc={EF97A00F-6A30-4FE6-9E69-9520B4BDC284}</author>
    <author>tc={F4E2D001-BE4D-490D-A88D-63FEA55B8486}</author>
    <author>tc={ED87CD13-DE74-4AE3-9E85-60752F5D7D71}</author>
    <author>tc={FE30C2F6-4C06-4942-BB4A-BF7DC98060E3}</author>
    <author>tc={DB9ADBCA-178F-4DEC-9A8C-C075541160F8}</author>
    <author>tc={28025269-FA95-4459-B571-FB2087B8C974}</author>
    <author>tc={F7FE7218-C3F9-492B-B2BC-D65236AEA247}</author>
    <author>tc={54A38D18-D883-40DE-BF14-349CA04BA53F}</author>
    <author>tc={7371BE6A-C7F3-4BE1-A248-A6291C3F34C1}</author>
    <author>tc={6725A4C3-7C9F-4D77-B945-E5F2501FF664}</author>
    <author>tc={DD6B7679-06BB-4FA2-AE1A-4E51DC5A378D}</author>
    <author>tc={E78233B0-365A-45B9-8DB9-4C64C9B55470}</author>
    <author>tc={A52DA0DF-939A-44D8-AD06-CC8BC8D164A5}</author>
    <author>tc={9B2222FC-C1BC-4FE9-91DF-3C828826F187}</author>
    <author>tc={56D6EA88-3811-4CE1-AA2C-C8594EB8C062}</author>
    <author>tc={C5156D66-30ED-4272-AA52-CEAA65902171}</author>
    <author>tc={EE7165AB-403A-4F69-9B9D-0B2062A490E8}</author>
    <author>tc={643CD19A-953A-480C-9A99-A75EA12E2B17}</author>
    <author>tc={64672D5D-1310-4E8E-9A15-4E4A21176C0D}</author>
    <author>tc={C8726033-2861-4C3A-ABDF-0278342C3DFF}</author>
    <author>tc={DDF39A9E-312A-49F3-8F24-00E6FDDFA5B6}</author>
    <author>tc={D434AAF9-284F-4CF9-A70A-C95D84486650}</author>
    <author>tc={4C782CF8-7B1D-45CE-BAD8-CB5C369BA3ED}</author>
    <author>tc={478C66CE-89C9-4215-A48E-8AC4E8B347EB}</author>
    <author>tc={4239940E-DCEC-4235-80F7-C1997D98AFA5}</author>
    <author>tc={F7591023-5732-4CEE-A671-4AF46AF1196F}</author>
    <author>tc={22D7736C-1FD2-4FC4-A612-35AA99F39A5D}</author>
  </authors>
  <commentList>
    <comment ref="J1" authorId="0" shapeId="0" xr:uid="{24A38B13-1DEA-4685-87DC-FE70A72254DB}">
      <text>
        <t>[Threaded comment]
Your version of Excel allows you to read this threaded comment; however, any edits to it will get removed if the file is opened in a newer version of Excel. Learn more: https://go.microsoft.com/fwlink/?linkid=870924
Comment:
    Which of the following is a clinical challenge in usual care approaches for Neonatal Opioid Withdrawal Syndrome (NOWS)?</t>
      </text>
    </comment>
    <comment ref="K1" authorId="1" shapeId="0" xr:uid="{6935679D-60F2-4759-A35B-509919EC00F2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clinical practice is associated with reduced length of stay and opioid treatment for infants with NOWS?</t>
      </text>
    </comment>
    <comment ref="L1" authorId="2" shapeId="0" xr:uid="{EF97A00F-6A30-4FE6-9E69-9520B4BDC284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included in the Eat, Sleep, Console assessment?</t>
      </text>
    </comment>
    <comment ref="M1" authorId="3" shapeId="0" xr:uid="{F4E2D001-BE4D-490D-A88D-63FEA55B8486}">
      <text>
        <t>[Threaded comment]
Your version of Excel allows you to read this threaded comment; however, any edits to it will get removed if the file is opened in a newer version of Excel. Learn more: https://go.microsoft.com/fwlink/?linkid=870924
Comment:
    Which intervention is first-line for managing NOWS?</t>
      </text>
    </comment>
    <comment ref="N1" authorId="4" shapeId="0" xr:uid="{ED87CD13-DE74-4AE3-9E85-60752F5D7D71}">
      <text>
        <t>[Threaded comment]
Your version of Excel allows you to read this threaded comment; however, any edits to it will get removed if the file is opened in a newer version of Excel. Learn more: https://go.microsoft.com/fwlink/?linkid=870924
Comment:
    When is pharmacologic intervention typically indicated for NOWS?</t>
      </text>
    </comment>
    <comment ref="O1" authorId="5" shapeId="0" xr:uid="{FE30C2F6-4C06-4942-BB4A-BF7DC98060E3}">
      <text>
        <t>[Threaded comment]
Your version of Excel allows you to read this threaded comment; however, any edits to it will get removed if the file is opened in a newer version of Excel. Learn more: https://go.microsoft.com/fwlink/?linkid=870924
Comment:
    Have you had previous training in the Eat, Sleep, Console care approach for NOWS?</t>
      </text>
    </comment>
    <comment ref="P1" authorId="6" shapeId="0" xr:uid="{DB9ADBCA-178F-4DEC-9A8C-C075541160F8}">
      <text>
        <t>[Threaded comment]
Your version of Excel allows you to read this threaded comment; however, any edits to it will get removed if the file is opened in a newer version of Excel. Learn more: https://go.microsoft.com/fwlink/?linkid=870924
Comment:
    Assessing a parent-infant dyad for NOWS?</t>
      </text>
    </comment>
    <comment ref="Q1" authorId="7" shapeId="0" xr:uid="{28025269-FA95-4459-B571-FB2087B8C974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Counseling parents on the Eat, Sleep, Console method?</t>
      </text>
    </comment>
    <comment ref="R1" authorId="8" shapeId="0" xr:uid="{F7FE7218-C3F9-492B-B2BC-D65236AEA24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Managing infants with NOWS?</t>
      </text>
    </comment>
    <comment ref="S1" authorId="9" shapeId="0" xr:uid="{54A38D18-D883-40DE-BF14-349CA04BA5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Providing post-discharge resources for parent-infant dyads affected by NOWS?</t>
      </text>
    </comment>
    <comment ref="T1" authorId="10" shapeId="0" xr:uid="{7371BE6A-C7F3-4BE1-A248-A6291C3F34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Performing urine or meconium toxicology testing is the best way to decide if an infant is at risk for NOWS because the parent may not disclose their use. </t>
      </text>
    </comment>
    <comment ref="U1" authorId="11" shapeId="0" xr:uid="{6725A4C3-7C9F-4D77-B945-E5F2501FF664}">
      <text>
        <t>[Threaded comment]
Your version of Excel allows you to read this threaded comment; however, any edits to it will get removed if the file is opened in a newer version of Excel. Learn more: https://go.microsoft.com/fwlink/?linkid=870924
Comment:
    Parents of infants at risk for NOWS are capable of being key participants in a NOWS care plan.</t>
      </text>
    </comment>
    <comment ref="V1" authorId="12" shapeId="0" xr:uid="{DD6B7679-06BB-4FA2-AE1A-4E51DC5A378D}">
      <text>
        <t>[Threaded comment]
Your version of Excel allows you to read this threaded comment; however, any edits to it will get removed if the file is opened in a newer version of Excel. Learn more: https://go.microsoft.com/fwlink/?linkid=870924
Comment:
    Parents with opioid use problems are less likely to adhere to instructions for consoling their infant.</t>
      </text>
    </comment>
    <comment ref="W1" authorId="13" shapeId="0" xr:uid="{E78233B0-365A-45B9-8DB9-4C64C9B55470}">
      <text>
        <t>[Threaded comment]
Your version of Excel allows you to read this threaded comment; however, any edits to it will get removed if the file is opened in a newer version of Excel. Learn more: https://go.microsoft.com/fwlink/?linkid=870924
Comment:
    Parents of infants with NOWS are likely to pose safety risks to the infant and should be reported to Administration for Children Services (ACS).</t>
      </text>
    </comment>
    <comment ref="X1" authorId="14" shapeId="0" xr:uid="{A52DA0DF-939A-44D8-AD06-CC8BC8D16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Parents of infants at risk for NOWS should be discouraged from breastfeeding because they might not have custody of the infant long-term.</t>
      </text>
    </comment>
    <comment ref="Y1" authorId="15" shapeId="0" xr:uid="{9B2222FC-C1BC-4FE9-91DF-3C828826F187}">
      <text>
        <t>[Threaded comment]
Your version of Excel allows you to read this threaded comment; however, any edits to it will get removed if the file is opened in a newer version of Excel. Learn more: https://go.microsoft.com/fwlink/?linkid=870924
Comment:
    Which of the following is a clinical challenge in usual care approaches for Neonatal Opioid Withdrawal Syndrome (NOWS)?</t>
      </text>
    </comment>
    <comment ref="Z1" authorId="16" shapeId="0" xr:uid="{56D6EA88-3811-4CE1-AA2C-C8594EB8C062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clinical practice is associated with reduced length of stay and opioid treatment for infants with NOWS?</t>
      </text>
    </comment>
    <comment ref="AA1" authorId="17" shapeId="0" xr:uid="{C5156D66-30ED-4272-AA52-CEAA659021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What is included in the Eat, Sleep, Console assessment?
</t>
      </text>
    </comment>
    <comment ref="AB1" authorId="18" shapeId="0" xr:uid="{EE7165AB-403A-4F69-9B9D-0B2062A490E8}">
      <text>
        <t>[Threaded comment]
Your version of Excel allows you to read this threaded comment; however, any edits to it will get removed if the file is opened in a newer version of Excel. Learn more: https://go.microsoft.com/fwlink/?linkid=870924
Comment:
    Which intervention is first-line for managing NOWS?</t>
      </text>
    </comment>
    <comment ref="AC1" authorId="19" shapeId="0" xr:uid="{643CD19A-953A-480C-9A99-A75EA12E2B17}">
      <text>
        <t>[Threaded comment]
Your version of Excel allows you to read this threaded comment; however, any edits to it will get removed if the file is opened in a newer version of Excel. Learn more: https://go.microsoft.com/fwlink/?linkid=870924
Comment:
    When is pharmacologic intervention typically indicated for NOWS?</t>
      </text>
    </comment>
    <comment ref="AD1" authorId="20" shapeId="0" xr:uid="{64672D5D-1310-4E8E-9A15-4E4A21176C0D}">
      <text>
        <t>[Threaded comment]
Your version of Excel allows you to read this threaded comment; however, any edits to it will get removed if the file is opened in a newer version of Excel. Learn more: https://go.microsoft.com/fwlink/?linkid=870924
Comment:
    Assessing a parent-infant dyad for NOWS?</t>
      </text>
    </comment>
    <comment ref="AE1" authorId="21" shapeId="0" xr:uid="{C8726033-2861-4C3A-ABDF-0278342C3DFF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Counseling parents on Eat, Sleep, Console method?</t>
      </text>
    </comment>
    <comment ref="AF1" authorId="22" shapeId="0" xr:uid="{DDF39A9E-312A-49F3-8F24-00E6FDDFA5B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Managing infants with NOWS?</t>
      </text>
    </comment>
    <comment ref="AG1" authorId="23" shapeId="0" xr:uid="{D434AAF9-284F-4CF9-A70A-C95D844866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Providing post-discharge resources for parent-infant dyads affected by NOWS?</t>
      </text>
    </comment>
    <comment ref="AH1" authorId="24" shapeId="0" xr:uid="{4C782CF8-7B1D-45CE-BAD8-CB5C369BA3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Performing urine or meconium toxicology testing is the best way to decide if an infant is at risk for NOWS because the parent may not disclose their use. </t>
      </text>
    </comment>
    <comment ref="AI1" authorId="25" shapeId="0" xr:uid="{478C66CE-89C9-4215-A48E-8AC4E8B347EB}">
      <text>
        <t>[Threaded comment]
Your version of Excel allows you to read this threaded comment; however, any edits to it will get removed if the file is opened in a newer version of Excel. Learn more: https://go.microsoft.com/fwlink/?linkid=870924
Comment:
    Parents of infants at risk for NOWS are capable of being key participants in a NOWS care plan.</t>
      </text>
    </comment>
    <comment ref="AJ1" authorId="26" shapeId="0" xr:uid="{4239940E-DCEC-4235-80F7-C1997D98AFA5}">
      <text>
        <t>[Threaded comment]
Your version of Excel allows you to read this threaded comment; however, any edits to it will get removed if the file is opened in a newer version of Excel. Learn more: https://go.microsoft.com/fwlink/?linkid=870924
Comment:
    Parents with opioid use problems are less likely to adhere to instructions for consoling their infant.</t>
      </text>
    </comment>
    <comment ref="AK1" authorId="27" shapeId="0" xr:uid="{F7591023-5732-4CEE-A671-4AF46AF1196F}">
      <text>
        <t>[Threaded comment]
Your version of Excel allows you to read this threaded comment; however, any edits to it will get removed if the file is opened in a newer version of Excel. Learn more: https://go.microsoft.com/fwlink/?linkid=870924
Comment:
    Parents of infants with NOWS are likely to pose safety risks to the infant and should be reported to Administration for Children Services (ACS).</t>
      </text>
    </comment>
    <comment ref="AL1" authorId="28" shapeId="0" xr:uid="{22D7736C-1FD2-4FC4-A612-35AA99F39A5D}">
      <text>
        <t>[Threaded comment]
Your version of Excel allows you to read this threaded comment; however, any edits to it will get removed if the file is opened in a newer version of Excel. Learn more: https://go.microsoft.com/fwlink/?linkid=870924
Comment:
    Parents of infants at risk for NOWS should be discouraged from breastfeeding because they might not have custody of the infant long-term.</t>
      </text>
    </comment>
  </commentList>
</comments>
</file>

<file path=xl/sharedStrings.xml><?xml version="1.0" encoding="utf-8"?>
<sst xmlns="http://schemas.openxmlformats.org/spreadsheetml/2006/main" count="334" uniqueCount="125">
  <si>
    <t>Participant ID</t>
  </si>
  <si>
    <t>Continuous</t>
  </si>
  <si>
    <t>Gender</t>
  </si>
  <si>
    <t xml:space="preserve">Categorical </t>
  </si>
  <si>
    <t>Male</t>
  </si>
  <si>
    <t>Female</t>
  </si>
  <si>
    <t>Other</t>
  </si>
  <si>
    <t>Prefer not to answer</t>
  </si>
  <si>
    <t>Clinical Position</t>
  </si>
  <si>
    <t>Resident Physician</t>
  </si>
  <si>
    <t>Attending Physician</t>
  </si>
  <si>
    <t>Physician Assistant</t>
  </si>
  <si>
    <t>Nurse Practitioner</t>
  </si>
  <si>
    <t>Certified Nurse Midwife</t>
  </si>
  <si>
    <t>Registered Nurse</t>
  </si>
  <si>
    <t>NICU</t>
  </si>
  <si>
    <t>No</t>
  </si>
  <si>
    <t>Yes</t>
  </si>
  <si>
    <t>Well baby nursery</t>
  </si>
  <si>
    <t>Labor and Delivery</t>
  </si>
  <si>
    <t>Women's health clinic</t>
  </si>
  <si>
    <t>Pediatric Clinic</t>
  </si>
  <si>
    <t>Years in Clinical Practice</t>
  </si>
  <si>
    <t>Pre Simulation Knowledge: Question 5</t>
  </si>
  <si>
    <t>Incorrect</t>
  </si>
  <si>
    <t>Correct</t>
  </si>
  <si>
    <t>Pre Simulation Knowledge: Question 6</t>
  </si>
  <si>
    <t>Pre Simulation Knowledge: Question 7</t>
  </si>
  <si>
    <t>Pre Simulation Knowledge: Question 8</t>
  </si>
  <si>
    <t>Pre Simulation Knowledge: Question 9</t>
  </si>
  <si>
    <t>Pre Simulation Knowledge: Question 10</t>
  </si>
  <si>
    <t>Pre Simulation Comfort: 11a</t>
  </si>
  <si>
    <t>Not at all comfortable</t>
  </si>
  <si>
    <t>Slightly comfortable</t>
  </si>
  <si>
    <t>Moderately comfortable</t>
  </si>
  <si>
    <t>Very comfortable</t>
  </si>
  <si>
    <t>Extremely Comfortable</t>
  </si>
  <si>
    <t>Pre Simulation Comfort: 11b</t>
  </si>
  <si>
    <t>Pre Simulation Comfort: 11c</t>
  </si>
  <si>
    <t>Pre Simulation Comfort: 11d</t>
  </si>
  <si>
    <t>Pre Simulation Attitude: 12a</t>
  </si>
  <si>
    <t>Strongly Disagree</t>
  </si>
  <si>
    <t xml:space="preserve">Strongly agree = negative attitude </t>
  </si>
  <si>
    <t>Disagree</t>
  </si>
  <si>
    <t>Neutral</t>
  </si>
  <si>
    <t>Agree</t>
  </si>
  <si>
    <t>Strongly Agree</t>
  </si>
  <si>
    <t>Pre Simulation Attitude: 12b</t>
  </si>
  <si>
    <t>Strongly agree = positive attitude</t>
  </si>
  <si>
    <t>Pre Simulation Attitude: 12c</t>
  </si>
  <si>
    <t>Pre Simulation Attitude: 12d</t>
  </si>
  <si>
    <t>Pre Simulation Attitude: 12e</t>
  </si>
  <si>
    <t>Post Simulation Knowledge: Question 5</t>
  </si>
  <si>
    <t>Post Simulation Knowledge: Question 6</t>
  </si>
  <si>
    <t>Post Simulation Knowledge: Question 7</t>
  </si>
  <si>
    <t>Post Simulation Knowledge: Question 8</t>
  </si>
  <si>
    <t>Post Simulation Knowledge: Question 9</t>
  </si>
  <si>
    <t>Post Simulation Comfort: 10a</t>
  </si>
  <si>
    <t>Post Simulation Comfort: 10b</t>
  </si>
  <si>
    <t>Post Simulation Comfort: 10c</t>
  </si>
  <si>
    <t>Post Simulation Comfort: 10d</t>
  </si>
  <si>
    <t>Post Simulation Attitude: 11a</t>
  </si>
  <si>
    <t>Post Simulation Attitude: 11b</t>
  </si>
  <si>
    <t>Post Simulation Attitude: 11c</t>
  </si>
  <si>
    <t>Post Simulation Attitude: 11d</t>
  </si>
  <si>
    <t>Post Simulation Attitude: 11e</t>
  </si>
  <si>
    <t>Years in Practice</t>
  </si>
  <si>
    <t xml:space="preserve">Post Simulation Knowledge: Question 9 </t>
  </si>
  <si>
    <t>FI465</t>
  </si>
  <si>
    <t>EL855</t>
  </si>
  <si>
    <t>WE967</t>
  </si>
  <si>
    <t>PE127</t>
  </si>
  <si>
    <t>NO224</t>
  </si>
  <si>
    <t>TS007</t>
  </si>
  <si>
    <t>WO902</t>
  </si>
  <si>
    <t>OA186</t>
  </si>
  <si>
    <t>ST512</t>
  </si>
  <si>
    <t>MA833</t>
  </si>
  <si>
    <t>MA730</t>
  </si>
  <si>
    <t>NA896</t>
  </si>
  <si>
    <t>LE971</t>
  </si>
  <si>
    <t>AB022</t>
  </si>
  <si>
    <t>YZ448</t>
  </si>
  <si>
    <t>SA261</t>
  </si>
  <si>
    <t>NA062</t>
  </si>
  <si>
    <t>AE417</t>
  </si>
  <si>
    <t>GL782</t>
  </si>
  <si>
    <t>LI492</t>
  </si>
  <si>
    <t>AB047</t>
  </si>
  <si>
    <t>XX998</t>
  </si>
  <si>
    <t>XX999</t>
  </si>
  <si>
    <t xml:space="preserve">Resident </t>
  </si>
  <si>
    <t>Clinical Responsibility</t>
  </si>
  <si>
    <t>Pediatric clinic</t>
  </si>
  <si>
    <t xml:space="preserve">Years in practice </t>
  </si>
  <si>
    <t>Pre Sim Question 5</t>
  </si>
  <si>
    <t>Post Sim Question 5</t>
  </si>
  <si>
    <t>Pre Sim Question 6</t>
  </si>
  <si>
    <t>Post Sim Question 6</t>
  </si>
  <si>
    <t xml:space="preserve">Incorrect </t>
  </si>
  <si>
    <t>Pre Sim Question 7</t>
  </si>
  <si>
    <t>Post Sim Question 7</t>
  </si>
  <si>
    <t>Pre Sim Question 8</t>
  </si>
  <si>
    <t>Post Sim Question 8</t>
  </si>
  <si>
    <t>Pre Sim Question 9</t>
  </si>
  <si>
    <t>Post Sim Question 9</t>
  </si>
  <si>
    <t>Pre Sim Question 10</t>
  </si>
  <si>
    <t>Pre Sim Comfort 11a</t>
  </si>
  <si>
    <t>Post Sim Comfort 10a</t>
  </si>
  <si>
    <t>Pre Sim Comfort 11b</t>
  </si>
  <si>
    <t>Post Sim Comfort 10b</t>
  </si>
  <si>
    <t>Pre Sim Comfort 11c</t>
  </si>
  <si>
    <t>Post Sim Comfort 10c</t>
  </si>
  <si>
    <t>Pre Sim Comfort 11d</t>
  </si>
  <si>
    <t>Post Sim Comfort 10d</t>
  </si>
  <si>
    <t>Pre Sim Attitude 12a</t>
  </si>
  <si>
    <t>Post Sim Attitude 11a</t>
  </si>
  <si>
    <t>Pre Sim Attitude 12b</t>
  </si>
  <si>
    <t>Post Sim Attitude 11b</t>
  </si>
  <si>
    <t>Pre Sim Attitude 12c</t>
  </si>
  <si>
    <t>Post Sim Attitude 11c</t>
  </si>
  <si>
    <t>Pre Sim Attitude 12d</t>
  </si>
  <si>
    <t>Post Sim Attitude 11d</t>
  </si>
  <si>
    <t>Pre Sim Attitude 12e</t>
  </si>
  <si>
    <t>Post Sim Attitude 11e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</si>
</sst>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5A4A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5A4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ane Obaid" id="{64FC2510-4B6A-4A42-AA14-17F06257DF2F}" userId="S::liane.obaid@einsteinmed.edu::64d8867c-63dc-4ef2-8314-93ed6fbbd63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6" dT="2026-04-13T16:25:42.43" personId="{64FC2510-4B6A-4A42-AA14-17F06257DF2F}" id="{33D419CE-8141-4583-AE6A-3D727C04A701}">
    <text>Assessing a parent-infant dyad for NOWS?</text>
  </threadedComment>
  <threadedComment ref="A41" dT="2026-04-13T16:25:51.25" personId="{64FC2510-4B6A-4A42-AA14-17F06257DF2F}" id="{907080E5-C2B5-4AE2-A95B-843C54D25FCA}">
    <text>Counseling parents on the Eat, Sleep, Console method?</text>
  </threadedComment>
  <threadedComment ref="A46" dT="2026-04-13T16:25:59.29" personId="{64FC2510-4B6A-4A42-AA14-17F06257DF2F}" id="{D31E2794-ACBE-4C90-9117-D8AF69B31FDE}">
    <text>Managing infants with NOWS?</text>
  </threadedComment>
  <threadedComment ref="A51" dT="2026-04-13T16:26:08.85" personId="{64FC2510-4B6A-4A42-AA14-17F06257DF2F}" id="{3DF81682-6773-4DC1-814C-039F1C679092}">
    <text>Providing post-discharge resources for parent-infant dyads affected by NOWS?</text>
  </threadedComment>
  <threadedComment ref="A56" dT="2026-04-13T16:22:51.23" personId="{64FC2510-4B6A-4A42-AA14-17F06257DF2F}" id="{FD7D2310-01F3-4B0C-8173-AC6A1FCE099D}">
    <text xml:space="preserve">Performing urine or meconium toxicology testing is the best way to decide if an infant is at risk for NOWS because the parent may not disclose their use. </text>
  </threadedComment>
  <threadedComment ref="A61" dT="2026-04-13T16:23:16.06" personId="{64FC2510-4B6A-4A42-AA14-17F06257DF2F}" id="{1FF42964-DD93-4415-806C-F883E938DC9A}">
    <text>Parents of infants at risk for NOWS are capable of being key participants in a NOWS care plan.</text>
  </threadedComment>
  <threadedComment ref="A66" dT="2026-04-13T16:24:19.22" personId="{64FC2510-4B6A-4A42-AA14-17F06257DF2F}" id="{83FEE778-2FCF-47E8-8161-560F2260FFED}">
    <text>Parents with opioid use problems are less likely to adhere to instructions for consoling their infant.</text>
  </threadedComment>
  <threadedComment ref="A71" dT="2026-04-13T16:24:54.63" personId="{64FC2510-4B6A-4A42-AA14-17F06257DF2F}" id="{73D8FF78-7209-4236-A6E2-D1380C1334E0}">
    <text>Parents of infants with NOWS are likely to pose safety risks to the infant and should be reported to Administration for Children Services (ACS).</text>
  </threadedComment>
  <threadedComment ref="A76" dT="2026-04-13T16:25:05.10" personId="{64FC2510-4B6A-4A42-AA14-17F06257DF2F}" id="{AA1E9AC0-C020-463F-86BE-90B382E5B4CD}">
    <text>Parents of infants at risk for NOWS should be discouraged from breastfeeding because they might not have custody of the infant long-term.</text>
  </threadedComment>
  <threadedComment ref="A91" dT="2026-04-13T16:25:42.43" personId="{64FC2510-4B6A-4A42-AA14-17F06257DF2F}" id="{DA2FFC29-5BFF-4A0F-B0DD-2C842A1B4552}">
    <text>Assessing a parent-infant dyad for NOWS?</text>
  </threadedComment>
  <threadedComment ref="A96" dT="2026-04-13T16:25:51.25" personId="{64FC2510-4B6A-4A42-AA14-17F06257DF2F}" id="{843BE30A-09FE-41CE-9D99-3B2AB731E516}">
    <text>Counseling parents on the Eat, Sleep, Console method?</text>
  </threadedComment>
  <threadedComment ref="A101" dT="2026-04-13T16:25:59.29" personId="{64FC2510-4B6A-4A42-AA14-17F06257DF2F}" id="{5BC5EBF9-84E2-4D66-9BE6-E00921B15F45}">
    <text>Managing infants with NOWS?</text>
  </threadedComment>
  <threadedComment ref="A106" dT="2026-04-13T16:26:08.85" personId="{64FC2510-4B6A-4A42-AA14-17F06257DF2F}" id="{CE6C999E-DE19-434F-9D5A-63D984FCF229}">
    <text>Providing post-discharge resources for parent-infant dyads affected by NOWS?</text>
  </threadedComment>
  <threadedComment ref="A111" dT="2026-04-13T16:22:51.23" personId="{64FC2510-4B6A-4A42-AA14-17F06257DF2F}" id="{2C96391A-5A48-436C-A613-E309BB6EB60D}">
    <text xml:space="preserve">Performing urine or meconium toxicology testing is the best way to decide if an infant is at risk for NOWS because the parent may not disclose their use. </text>
  </threadedComment>
  <threadedComment ref="A116" dT="2026-04-13T16:23:16.06" personId="{64FC2510-4B6A-4A42-AA14-17F06257DF2F}" id="{83FF6EEA-1453-4598-8EB4-40D7E500D323}">
    <text>Parents of infants at risk for NOWS are capable of being key participants in a NOWS care plan.</text>
  </threadedComment>
  <threadedComment ref="A121" dT="2026-04-13T16:24:19.22" personId="{64FC2510-4B6A-4A42-AA14-17F06257DF2F}" id="{9080B570-ECD6-48AE-A041-EE21A8ED46E7}">
    <text>Parents with opioid use problems are less likely to adhere to instructions for consoling their infant.</text>
  </threadedComment>
  <threadedComment ref="A126" dT="2026-04-13T16:24:54.63" personId="{64FC2510-4B6A-4A42-AA14-17F06257DF2F}" id="{122202E8-C9C0-43B3-B288-56C2A99E9258}">
    <text>Parents of infants with NOWS are likely to pose safety risks to the infant and should be reported to Administration for Children Services (ACS).</text>
  </threadedComment>
  <threadedComment ref="A131" dT="2026-04-13T16:25:05.10" personId="{64FC2510-4B6A-4A42-AA14-17F06257DF2F}" id="{C2C20C1B-A298-4944-9533-9BEA735ADA24}">
    <text>Parents of infants at risk for NOWS should be discouraged from breastfeeding because they might not have custody of the infant long-term.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" dT="2026-04-13T15:32:26.57" personId="{64FC2510-4B6A-4A42-AA14-17F06257DF2F}" id="{24A38B13-1DEA-4685-87DC-FE70A72254DB}">
    <text>Which of the following is a clinical challenge in usual care approaches for Neonatal Opioid Withdrawal Syndrome (NOWS)?</text>
  </threadedComment>
  <threadedComment ref="K1" dT="2026-04-13T15:32:51.93" personId="{64FC2510-4B6A-4A42-AA14-17F06257DF2F}" id="{6935679D-60F2-4759-A35B-509919EC00F2}">
    <text>What clinical practice is associated with reduced length of stay and opioid treatment for infants with NOWS?</text>
  </threadedComment>
  <threadedComment ref="L1" dT="2026-04-13T15:33:27.28" personId="{64FC2510-4B6A-4A42-AA14-17F06257DF2F}" id="{EF97A00F-6A30-4FE6-9E69-9520B4BDC284}">
    <text>What is included in the Eat, Sleep, Console assessment?</text>
  </threadedComment>
  <threadedComment ref="M1" dT="2026-04-13T15:33:58.53" personId="{64FC2510-4B6A-4A42-AA14-17F06257DF2F}" id="{F4E2D001-BE4D-490D-A88D-63FEA55B8486}">
    <text>Which intervention is first-line for managing NOWS?</text>
  </threadedComment>
  <threadedComment ref="N1" dT="2026-04-13T15:34:26.50" personId="{64FC2510-4B6A-4A42-AA14-17F06257DF2F}" id="{ED87CD13-DE74-4AE3-9E85-60752F5D7D71}">
    <text>When is pharmacologic intervention typically indicated for NOWS?</text>
  </threadedComment>
  <threadedComment ref="O1" dT="2026-04-13T15:34:51.98" personId="{64FC2510-4B6A-4A42-AA14-17F06257DF2F}" id="{FE30C2F6-4C06-4942-BB4A-BF7DC98060E3}">
    <text>Have you had previous training in the Eat, Sleep, Console care approach for NOWS?</text>
  </threadedComment>
  <threadedComment ref="P1" dT="2026-04-13T15:35:31.47" personId="{64FC2510-4B6A-4A42-AA14-17F06257DF2F}" id="{DB9ADBCA-178F-4DEC-9A8C-C075541160F8}">
    <text>Assessing a parent-infant dyad for NOWS?</text>
  </threadedComment>
  <threadedComment ref="Q1" dT="2026-04-13T15:35:54.62" personId="{64FC2510-4B6A-4A42-AA14-17F06257DF2F}" id="{28025269-FA95-4459-B571-FB2087B8C974}">
    <text>Counseling parents on the Eat, Sleep, Console method?</text>
  </threadedComment>
  <threadedComment ref="R1" dT="2026-04-13T15:36:15.97" personId="{64FC2510-4B6A-4A42-AA14-17F06257DF2F}" id="{F7FE7218-C3F9-492B-B2BC-D65236AEA247}">
    <text>Managing infants with NOWS?</text>
  </threadedComment>
  <threadedComment ref="S1" dT="2026-04-13T15:36:35.28" personId="{64FC2510-4B6A-4A42-AA14-17F06257DF2F}" id="{54A38D18-D883-40DE-BF14-349CA04BA53F}">
    <text>Providing post-discharge resources for parent-infant dyads affected by NOWS?</text>
  </threadedComment>
  <threadedComment ref="T1" dT="2026-04-13T15:37:12.67" personId="{64FC2510-4B6A-4A42-AA14-17F06257DF2F}" id="{7371BE6A-C7F3-4BE1-A248-A6291C3F34C1}">
    <text xml:space="preserve">Performing urine or meconium toxicology testing is the best way to decide if an infant is at risk for NOWS because the parent may not disclose their use. </text>
  </threadedComment>
  <threadedComment ref="U1" dT="2026-04-13T15:37:34.45" personId="{64FC2510-4B6A-4A42-AA14-17F06257DF2F}" id="{6725A4C3-7C9F-4D77-B945-E5F2501FF664}">
    <text>Parents of infants at risk for NOWS are capable of being key participants in a NOWS care plan.</text>
  </threadedComment>
  <threadedComment ref="V1" dT="2026-04-13T15:46:15.05" personId="{64FC2510-4B6A-4A42-AA14-17F06257DF2F}" id="{DD6B7679-06BB-4FA2-AE1A-4E51DC5A378D}">
    <text>Parents with opioid use problems are less likely to adhere to instructions for consoling their infant.</text>
  </threadedComment>
  <threadedComment ref="W1" dT="2026-04-13T15:46:43.48" personId="{64FC2510-4B6A-4A42-AA14-17F06257DF2F}" id="{E78233B0-365A-45B9-8DB9-4C64C9B55470}">
    <text>Parents of infants with NOWS are likely to pose safety risks to the infant and should be reported to Administration for Children Services (ACS).</text>
  </threadedComment>
  <threadedComment ref="X1" dT="2026-04-13T15:47:09.27" personId="{64FC2510-4B6A-4A42-AA14-17F06257DF2F}" id="{A52DA0DF-939A-44D8-AD06-CC8BC8D164A5}">
    <text>Parents of infants at risk for NOWS should be discouraged from breastfeeding because they might not have custody of the infant long-term.</text>
  </threadedComment>
  <threadedComment ref="Y1" dT="2026-04-13T15:48:24.77" personId="{64FC2510-4B6A-4A42-AA14-17F06257DF2F}" id="{9B2222FC-C1BC-4FE9-91DF-3C828826F187}">
    <text>Which of the following is a clinical challenge in usual care approaches for Neonatal Opioid Withdrawal Syndrome (NOWS)?</text>
  </threadedComment>
  <threadedComment ref="Z1" dT="2026-04-13T15:48:48.97" personId="{64FC2510-4B6A-4A42-AA14-17F06257DF2F}" id="{56D6EA88-3811-4CE1-AA2C-C8594EB8C062}">
    <text>What clinical practice is associated with reduced length of stay and opioid treatment for infants with NOWS?</text>
  </threadedComment>
  <threadedComment ref="AA1" dT="2026-04-13T15:49:17.83" personId="{64FC2510-4B6A-4A42-AA14-17F06257DF2F}" id="{C5156D66-30ED-4272-AA52-CEAA65902171}">
    <text xml:space="preserve">What is included in the Eat, Sleep, Console assessment?
</text>
  </threadedComment>
  <threadedComment ref="AB1" dT="2026-04-13T15:49:41.98" personId="{64FC2510-4B6A-4A42-AA14-17F06257DF2F}" id="{EE7165AB-403A-4F69-9B9D-0B2062A490E8}">
    <text>Which intervention is first-line for managing NOWS?</text>
  </threadedComment>
  <threadedComment ref="AC1" dT="2026-04-13T15:56:22.44" personId="{64FC2510-4B6A-4A42-AA14-17F06257DF2F}" id="{643CD19A-953A-480C-9A99-A75EA12E2B17}">
    <text>When is pharmacologic intervention typically indicated for NOWS?</text>
  </threadedComment>
  <threadedComment ref="AD1" dT="2026-04-13T15:57:16.20" personId="{64FC2510-4B6A-4A42-AA14-17F06257DF2F}" id="{64672D5D-1310-4E8E-9A15-4E4A21176C0D}">
    <text>Assessing a parent-infant dyad for NOWS?</text>
  </threadedComment>
  <threadedComment ref="AE1" dT="2026-04-13T15:57:58.69" personId="{64FC2510-4B6A-4A42-AA14-17F06257DF2F}" id="{C8726033-2861-4C3A-ABDF-0278342C3DFF}">
    <text>Counseling parents on Eat, Sleep, Console method?</text>
  </threadedComment>
  <threadedComment ref="AF1" dT="2026-04-13T15:58:26.72" personId="{64FC2510-4B6A-4A42-AA14-17F06257DF2F}" id="{DDF39A9E-312A-49F3-8F24-00E6FDDFA5B6}">
    <text>Managing infants with NOWS?</text>
  </threadedComment>
  <threadedComment ref="AG1" dT="2026-04-13T15:58:49.18" personId="{64FC2510-4B6A-4A42-AA14-17F06257DF2F}" id="{D434AAF9-284F-4CF9-A70A-C95D84486650}">
    <text>Providing post-discharge resources for parent-infant dyads affected by NOWS?</text>
  </threadedComment>
  <threadedComment ref="AH1" dT="2026-04-13T16:00:28.13" personId="{64FC2510-4B6A-4A42-AA14-17F06257DF2F}" id="{4C782CF8-7B1D-45CE-BAD8-CB5C369BA3ED}">
    <text xml:space="preserve">Performing urine or meconium toxicology testing is the best way to decide if an infant is at risk for NOWS because the parent may not disclose their use. </text>
  </threadedComment>
  <threadedComment ref="AI1" dT="2026-04-13T16:00:38.81" personId="{64FC2510-4B6A-4A42-AA14-17F06257DF2F}" id="{478C66CE-89C9-4215-A48E-8AC4E8B347EB}">
    <text>Parents of infants at risk for NOWS are capable of being key participants in a NOWS care plan.</text>
  </threadedComment>
  <threadedComment ref="AJ1" dT="2026-04-13T16:00:49.74" personId="{64FC2510-4B6A-4A42-AA14-17F06257DF2F}" id="{4239940E-DCEC-4235-80F7-C1997D98AFA5}">
    <text>Parents with opioid use problems are less likely to adhere to instructions for consoling their infant.</text>
  </threadedComment>
  <threadedComment ref="AK1" dT="2026-04-13T16:01:00.19" personId="{64FC2510-4B6A-4A42-AA14-17F06257DF2F}" id="{F7591023-5732-4CEE-A671-4AF46AF1196F}">
    <text>Parents of infants with NOWS are likely to pose safety risks to the infant and should be reported to Administration for Children Services (ACS).</text>
  </threadedComment>
  <threadedComment ref="AL1" dT="2026-04-13T16:01:13.05" personId="{64FC2510-4B6A-4A42-AA14-17F06257DF2F}" id="{22D7736C-1FD2-4FC4-A612-35AA99F39A5D}">
    <text>Parents of infants at risk for NOWS should be discouraged from breastfeeding because they might not have custody of the infant long-term.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workbookViewId="0">
      <selection activeCell="C9" sqref="C9"/>
    </sheetView>
  </sheetViews>
  <sheetFormatPr defaultRowHeight="15"/>
  <cols>
    <col min="1" max="1" width="34.28515625" style="1" customWidth="1"/>
    <col min="2" max="2" width="12.7109375" customWidth="1"/>
    <col min="3" max="3" width="21.7109375" customWidth="1"/>
    <col min="5" max="5" width="33" customWidth="1"/>
  </cols>
  <sheetData>
    <row r="1" spans="1:5">
      <c r="A1" s="1" t="s">
        <v>0</v>
      </c>
      <c r="B1" t="s">
        <v>1</v>
      </c>
    </row>
    <row r="2" spans="1:5">
      <c r="A2" s="3" t="s">
        <v>2</v>
      </c>
      <c r="B2" s="2" t="s">
        <v>3</v>
      </c>
      <c r="C2" s="2" t="s">
        <v>4</v>
      </c>
      <c r="D2" s="2">
        <v>0</v>
      </c>
      <c r="E2" s="2"/>
    </row>
    <row r="3" spans="1:5">
      <c r="A3" s="4"/>
      <c r="B3" s="2"/>
      <c r="C3" s="2" t="s">
        <v>5</v>
      </c>
      <c r="D3" s="2">
        <v>1</v>
      </c>
      <c r="E3" s="2"/>
    </row>
    <row r="4" spans="1:5">
      <c r="A4" s="4"/>
      <c r="B4" s="2"/>
      <c r="C4" s="2" t="s">
        <v>6</v>
      </c>
      <c r="D4" s="2">
        <v>2</v>
      </c>
      <c r="E4" s="2"/>
    </row>
    <row r="5" spans="1:5">
      <c r="A5" s="4"/>
      <c r="B5" s="2"/>
      <c r="C5" s="2" t="s">
        <v>7</v>
      </c>
      <c r="D5" s="2">
        <v>3</v>
      </c>
      <c r="E5" s="2"/>
    </row>
    <row r="6" spans="1:5">
      <c r="A6" s="1" t="s">
        <v>8</v>
      </c>
      <c r="B6" t="s">
        <v>3</v>
      </c>
      <c r="C6" t="s">
        <v>9</v>
      </c>
      <c r="D6">
        <v>0</v>
      </c>
    </row>
    <row r="7" spans="1:5">
      <c r="C7" t="s">
        <v>10</v>
      </c>
      <c r="D7">
        <v>1</v>
      </c>
    </row>
    <row r="8" spans="1:5">
      <c r="C8" t="s">
        <v>11</v>
      </c>
      <c r="D8">
        <v>2</v>
      </c>
    </row>
    <row r="9" spans="1:5">
      <c r="C9" t="s">
        <v>12</v>
      </c>
      <c r="D9">
        <v>3</v>
      </c>
    </row>
    <row r="10" spans="1:5">
      <c r="C10" t="s">
        <v>13</v>
      </c>
      <c r="D10">
        <v>4</v>
      </c>
    </row>
    <row r="11" spans="1:5">
      <c r="C11" t="s">
        <v>14</v>
      </c>
      <c r="D11">
        <v>5</v>
      </c>
    </row>
    <row r="12" spans="1:5">
      <c r="C12" t="s">
        <v>6</v>
      </c>
      <c r="D12">
        <v>6</v>
      </c>
    </row>
    <row r="13" spans="1:5">
      <c r="A13" s="4" t="s">
        <v>15</v>
      </c>
      <c r="B13" s="2" t="s">
        <v>3</v>
      </c>
      <c r="C13" s="2" t="s">
        <v>16</v>
      </c>
      <c r="D13" s="2">
        <v>0</v>
      </c>
      <c r="E13" s="2"/>
    </row>
    <row r="14" spans="1:5">
      <c r="A14" s="4"/>
      <c r="B14" s="2"/>
      <c r="C14" s="2" t="s">
        <v>17</v>
      </c>
      <c r="D14" s="2">
        <v>1</v>
      </c>
      <c r="E14" s="2"/>
    </row>
    <row r="15" spans="1:5">
      <c r="A15" s="4" t="s">
        <v>18</v>
      </c>
      <c r="B15" s="2" t="s">
        <v>3</v>
      </c>
      <c r="C15" s="2" t="s">
        <v>16</v>
      </c>
      <c r="D15" s="2">
        <v>0</v>
      </c>
      <c r="E15" s="2"/>
    </row>
    <row r="16" spans="1:5">
      <c r="A16" s="4"/>
      <c r="B16" s="2"/>
      <c r="C16" s="2" t="s">
        <v>17</v>
      </c>
      <c r="D16" s="2">
        <v>1</v>
      </c>
      <c r="E16" s="2"/>
    </row>
    <row r="17" spans="1:5">
      <c r="A17" s="4" t="s">
        <v>19</v>
      </c>
      <c r="B17" s="2" t="s">
        <v>3</v>
      </c>
      <c r="C17" s="2" t="s">
        <v>16</v>
      </c>
      <c r="D17" s="2">
        <v>0</v>
      </c>
      <c r="E17" s="2"/>
    </row>
    <row r="18" spans="1:5">
      <c r="A18" s="4"/>
      <c r="B18" s="2"/>
      <c r="C18" s="2" t="s">
        <v>17</v>
      </c>
      <c r="D18" s="2">
        <v>1</v>
      </c>
      <c r="E18" s="2"/>
    </row>
    <row r="19" spans="1:5">
      <c r="A19" s="4" t="s">
        <v>20</v>
      </c>
      <c r="B19" s="2" t="s">
        <v>3</v>
      </c>
      <c r="C19" s="2" t="s">
        <v>16</v>
      </c>
      <c r="D19" s="2">
        <v>0</v>
      </c>
      <c r="E19" s="2"/>
    </row>
    <row r="20" spans="1:5">
      <c r="A20" s="4"/>
      <c r="B20" s="2"/>
      <c r="C20" s="2" t="s">
        <v>17</v>
      </c>
      <c r="D20" s="2">
        <v>1</v>
      </c>
      <c r="E20" s="2"/>
    </row>
    <row r="21" spans="1:5">
      <c r="A21" s="4" t="s">
        <v>21</v>
      </c>
      <c r="B21" s="2" t="s">
        <v>3</v>
      </c>
      <c r="C21" s="2" t="s">
        <v>16</v>
      </c>
      <c r="D21" s="2">
        <v>0</v>
      </c>
      <c r="E21" s="2"/>
    </row>
    <row r="22" spans="1:5">
      <c r="A22" s="4"/>
      <c r="B22" s="2"/>
      <c r="C22" s="2" t="s">
        <v>17</v>
      </c>
      <c r="D22" s="2">
        <v>1</v>
      </c>
      <c r="E22" s="2"/>
    </row>
    <row r="23" spans="1:5">
      <c r="A23" s="1" t="s">
        <v>22</v>
      </c>
      <c r="B23" t="s">
        <v>1</v>
      </c>
    </row>
    <row r="24" spans="1:5">
      <c r="A24" s="4" t="s">
        <v>23</v>
      </c>
      <c r="B24" s="2" t="s">
        <v>3</v>
      </c>
      <c r="C24" s="2" t="s">
        <v>24</v>
      </c>
      <c r="D24" s="2">
        <v>0</v>
      </c>
      <c r="E24" s="2"/>
    </row>
    <row r="25" spans="1:5">
      <c r="A25" s="4"/>
      <c r="B25" s="2"/>
      <c r="C25" s="2" t="s">
        <v>25</v>
      </c>
      <c r="D25" s="2">
        <v>1</v>
      </c>
      <c r="E25" s="2"/>
    </row>
    <row r="26" spans="1:5">
      <c r="A26" s="1" t="s">
        <v>26</v>
      </c>
      <c r="B26" t="s">
        <v>3</v>
      </c>
      <c r="C26" t="s">
        <v>24</v>
      </c>
      <c r="D26">
        <v>0</v>
      </c>
    </row>
    <row r="27" spans="1:5">
      <c r="C27" t="s">
        <v>25</v>
      </c>
      <c r="D27">
        <v>1</v>
      </c>
    </row>
    <row r="28" spans="1:5">
      <c r="A28" s="4" t="s">
        <v>27</v>
      </c>
      <c r="B28" s="2" t="s">
        <v>3</v>
      </c>
      <c r="C28" s="2" t="s">
        <v>24</v>
      </c>
      <c r="D28" s="2">
        <v>0</v>
      </c>
      <c r="E28" s="2"/>
    </row>
    <row r="29" spans="1:5">
      <c r="A29" s="4"/>
      <c r="B29" s="2"/>
      <c r="C29" s="2" t="s">
        <v>25</v>
      </c>
      <c r="D29" s="2">
        <v>1</v>
      </c>
      <c r="E29" s="2"/>
    </row>
    <row r="30" spans="1:5">
      <c r="A30" s="1" t="s">
        <v>28</v>
      </c>
      <c r="B30" t="s">
        <v>3</v>
      </c>
      <c r="C30" t="s">
        <v>24</v>
      </c>
      <c r="D30">
        <v>0</v>
      </c>
    </row>
    <row r="31" spans="1:5">
      <c r="C31" t="s">
        <v>25</v>
      </c>
      <c r="D31">
        <v>1</v>
      </c>
    </row>
    <row r="32" spans="1:5">
      <c r="A32" s="4" t="s">
        <v>29</v>
      </c>
      <c r="B32" s="2" t="s">
        <v>3</v>
      </c>
      <c r="C32" s="2" t="s">
        <v>24</v>
      </c>
      <c r="D32" s="2">
        <v>0</v>
      </c>
      <c r="E32" s="2"/>
    </row>
    <row r="33" spans="1:5">
      <c r="A33" s="4"/>
      <c r="B33" s="2"/>
      <c r="C33" s="2" t="s">
        <v>25</v>
      </c>
      <c r="D33" s="2">
        <v>1</v>
      </c>
      <c r="E33" s="2"/>
    </row>
    <row r="34" spans="1:5">
      <c r="A34" s="1" t="s">
        <v>30</v>
      </c>
      <c r="B34" t="s">
        <v>3</v>
      </c>
      <c r="C34" t="s">
        <v>16</v>
      </c>
      <c r="D34">
        <v>0</v>
      </c>
    </row>
    <row r="35" spans="1:5">
      <c r="C35" t="s">
        <v>17</v>
      </c>
      <c r="D35">
        <v>1</v>
      </c>
    </row>
    <row r="36" spans="1:5">
      <c r="A36" s="4" t="s">
        <v>31</v>
      </c>
      <c r="B36" s="2" t="s">
        <v>3</v>
      </c>
      <c r="C36" s="2" t="s">
        <v>32</v>
      </c>
      <c r="D36" s="2">
        <v>1</v>
      </c>
      <c r="E36" s="2"/>
    </row>
    <row r="37" spans="1:5">
      <c r="A37" s="4"/>
      <c r="B37" s="2"/>
      <c r="C37" s="2" t="s">
        <v>33</v>
      </c>
      <c r="D37" s="2">
        <v>2</v>
      </c>
      <c r="E37" s="2"/>
    </row>
    <row r="38" spans="1:5">
      <c r="A38" s="4"/>
      <c r="B38" s="2"/>
      <c r="C38" s="2" t="s">
        <v>34</v>
      </c>
      <c r="D38" s="2">
        <v>3</v>
      </c>
      <c r="E38" s="2"/>
    </row>
    <row r="39" spans="1:5">
      <c r="A39" s="4"/>
      <c r="B39" s="2"/>
      <c r="C39" s="2" t="s">
        <v>35</v>
      </c>
      <c r="D39" s="2">
        <v>4</v>
      </c>
      <c r="E39" s="2"/>
    </row>
    <row r="40" spans="1:5">
      <c r="A40" s="4"/>
      <c r="B40" s="2"/>
      <c r="C40" s="2" t="s">
        <v>36</v>
      </c>
      <c r="D40" s="2">
        <v>5</v>
      </c>
      <c r="E40" s="2"/>
    </row>
    <row r="41" spans="1:5">
      <c r="A41" s="1" t="s">
        <v>37</v>
      </c>
      <c r="B41" t="s">
        <v>3</v>
      </c>
      <c r="C41" t="s">
        <v>32</v>
      </c>
      <c r="D41">
        <v>1</v>
      </c>
    </row>
    <row r="42" spans="1:5">
      <c r="C42" t="s">
        <v>33</v>
      </c>
      <c r="D42">
        <v>2</v>
      </c>
    </row>
    <row r="43" spans="1:5">
      <c r="C43" t="s">
        <v>34</v>
      </c>
      <c r="D43">
        <v>3</v>
      </c>
    </row>
    <row r="44" spans="1:5">
      <c r="C44" t="s">
        <v>35</v>
      </c>
      <c r="D44">
        <v>4</v>
      </c>
    </row>
    <row r="45" spans="1:5">
      <c r="C45" t="s">
        <v>36</v>
      </c>
      <c r="D45">
        <v>5</v>
      </c>
    </row>
    <row r="46" spans="1:5">
      <c r="A46" s="4" t="s">
        <v>38</v>
      </c>
      <c r="B46" s="2" t="s">
        <v>3</v>
      </c>
      <c r="C46" s="2" t="s">
        <v>32</v>
      </c>
      <c r="D46" s="2">
        <v>1</v>
      </c>
      <c r="E46" s="2"/>
    </row>
    <row r="47" spans="1:5">
      <c r="A47" s="4"/>
      <c r="B47" s="2"/>
      <c r="C47" s="2" t="s">
        <v>33</v>
      </c>
      <c r="D47" s="2">
        <v>2</v>
      </c>
      <c r="E47" s="2"/>
    </row>
    <row r="48" spans="1:5">
      <c r="A48" s="4"/>
      <c r="B48" s="2"/>
      <c r="C48" s="2" t="s">
        <v>34</v>
      </c>
      <c r="D48" s="2">
        <v>3</v>
      </c>
      <c r="E48" s="2"/>
    </row>
    <row r="49" spans="1:5">
      <c r="A49" s="4"/>
      <c r="B49" s="2"/>
      <c r="C49" s="2" t="s">
        <v>35</v>
      </c>
      <c r="D49" s="2">
        <v>4</v>
      </c>
      <c r="E49" s="2"/>
    </row>
    <row r="50" spans="1:5">
      <c r="A50" s="4"/>
      <c r="B50" s="2"/>
      <c r="C50" s="2" t="s">
        <v>36</v>
      </c>
      <c r="D50" s="2">
        <v>5</v>
      </c>
      <c r="E50" s="2"/>
    </row>
    <row r="51" spans="1:5">
      <c r="A51" s="1" t="s">
        <v>39</v>
      </c>
      <c r="B51" t="s">
        <v>3</v>
      </c>
      <c r="C51" t="s">
        <v>32</v>
      </c>
      <c r="D51">
        <v>1</v>
      </c>
    </row>
    <row r="52" spans="1:5">
      <c r="C52" t="s">
        <v>33</v>
      </c>
      <c r="D52">
        <v>2</v>
      </c>
    </row>
    <row r="53" spans="1:5">
      <c r="C53" t="s">
        <v>34</v>
      </c>
      <c r="D53">
        <v>3</v>
      </c>
    </row>
    <row r="54" spans="1:5">
      <c r="C54" t="s">
        <v>35</v>
      </c>
      <c r="D54">
        <v>4</v>
      </c>
    </row>
    <row r="55" spans="1:5">
      <c r="C55" t="s">
        <v>36</v>
      </c>
      <c r="D55">
        <v>5</v>
      </c>
    </row>
    <row r="56" spans="1:5">
      <c r="A56" s="4" t="s">
        <v>40</v>
      </c>
      <c r="B56" s="2" t="s">
        <v>3</v>
      </c>
      <c r="C56" s="2" t="s">
        <v>41</v>
      </c>
      <c r="D56" s="2">
        <v>1</v>
      </c>
      <c r="E56" s="2" t="s">
        <v>42</v>
      </c>
    </row>
    <row r="57" spans="1:5">
      <c r="A57" s="4"/>
      <c r="B57" s="2"/>
      <c r="C57" s="2" t="s">
        <v>43</v>
      </c>
      <c r="D57" s="2">
        <v>2</v>
      </c>
      <c r="E57" s="2"/>
    </row>
    <row r="58" spans="1:5">
      <c r="A58" s="4"/>
      <c r="B58" s="2"/>
      <c r="C58" s="2" t="s">
        <v>44</v>
      </c>
      <c r="D58" s="2">
        <v>3</v>
      </c>
      <c r="E58" s="2"/>
    </row>
    <row r="59" spans="1:5">
      <c r="A59" s="4"/>
      <c r="B59" s="2"/>
      <c r="C59" s="2" t="s">
        <v>45</v>
      </c>
      <c r="D59" s="2">
        <v>4</v>
      </c>
      <c r="E59" s="2"/>
    </row>
    <row r="60" spans="1:5">
      <c r="A60" s="4"/>
      <c r="B60" s="2"/>
      <c r="C60" s="2" t="s">
        <v>46</v>
      </c>
      <c r="D60" s="2">
        <v>5</v>
      </c>
      <c r="E60" s="2"/>
    </row>
    <row r="61" spans="1:5">
      <c r="A61" s="1" t="s">
        <v>47</v>
      </c>
      <c r="B61" t="s">
        <v>3</v>
      </c>
      <c r="C61" t="s">
        <v>41</v>
      </c>
      <c r="D61">
        <v>1</v>
      </c>
      <c r="E61" t="s">
        <v>48</v>
      </c>
    </row>
    <row r="62" spans="1:5">
      <c r="C62" t="s">
        <v>43</v>
      </c>
      <c r="D62">
        <v>2</v>
      </c>
    </row>
    <row r="63" spans="1:5">
      <c r="C63" t="s">
        <v>44</v>
      </c>
      <c r="D63">
        <v>3</v>
      </c>
    </row>
    <row r="64" spans="1:5">
      <c r="C64" t="s">
        <v>45</v>
      </c>
      <c r="D64">
        <v>4</v>
      </c>
    </row>
    <row r="65" spans="1:5">
      <c r="C65" t="s">
        <v>46</v>
      </c>
      <c r="D65">
        <v>5</v>
      </c>
    </row>
    <row r="66" spans="1:5">
      <c r="A66" s="4" t="s">
        <v>49</v>
      </c>
      <c r="B66" s="2" t="s">
        <v>3</v>
      </c>
      <c r="C66" s="2" t="s">
        <v>41</v>
      </c>
      <c r="D66" s="2">
        <v>1</v>
      </c>
      <c r="E66" s="2" t="s">
        <v>42</v>
      </c>
    </row>
    <row r="67" spans="1:5">
      <c r="A67" s="4"/>
      <c r="B67" s="2"/>
      <c r="C67" s="2" t="s">
        <v>43</v>
      </c>
      <c r="D67" s="2">
        <v>2</v>
      </c>
      <c r="E67" s="2"/>
    </row>
    <row r="68" spans="1:5">
      <c r="A68" s="4"/>
      <c r="B68" s="2"/>
      <c r="C68" s="2" t="s">
        <v>44</v>
      </c>
      <c r="D68" s="2">
        <v>3</v>
      </c>
      <c r="E68" s="2"/>
    </row>
    <row r="69" spans="1:5">
      <c r="A69" s="4"/>
      <c r="B69" s="2"/>
      <c r="C69" s="2" t="s">
        <v>45</v>
      </c>
      <c r="D69" s="2">
        <v>4</v>
      </c>
      <c r="E69" s="2"/>
    </row>
    <row r="70" spans="1:5">
      <c r="A70" s="4"/>
      <c r="B70" s="2"/>
      <c r="C70" s="2" t="s">
        <v>46</v>
      </c>
      <c r="D70" s="2">
        <v>5</v>
      </c>
      <c r="E70" s="2"/>
    </row>
    <row r="71" spans="1:5">
      <c r="A71" s="1" t="s">
        <v>50</v>
      </c>
      <c r="B71" t="s">
        <v>3</v>
      </c>
      <c r="C71" t="s">
        <v>41</v>
      </c>
      <c r="D71">
        <v>1</v>
      </c>
      <c r="E71" t="s">
        <v>42</v>
      </c>
    </row>
    <row r="72" spans="1:5">
      <c r="C72" t="s">
        <v>43</v>
      </c>
      <c r="D72">
        <v>2</v>
      </c>
    </row>
    <row r="73" spans="1:5">
      <c r="C73" t="s">
        <v>44</v>
      </c>
      <c r="D73">
        <v>3</v>
      </c>
    </row>
    <row r="74" spans="1:5">
      <c r="C74" t="s">
        <v>45</v>
      </c>
      <c r="D74">
        <v>4</v>
      </c>
    </row>
    <row r="75" spans="1:5">
      <c r="C75" t="s">
        <v>46</v>
      </c>
      <c r="D75">
        <v>5</v>
      </c>
    </row>
    <row r="76" spans="1:5">
      <c r="A76" s="4" t="s">
        <v>51</v>
      </c>
      <c r="B76" s="2" t="s">
        <v>3</v>
      </c>
      <c r="C76" s="2" t="s">
        <v>41</v>
      </c>
      <c r="D76" s="2">
        <v>1</v>
      </c>
      <c r="E76" s="2" t="s">
        <v>42</v>
      </c>
    </row>
    <row r="77" spans="1:5">
      <c r="A77" s="4"/>
      <c r="B77" s="2"/>
      <c r="C77" s="2" t="s">
        <v>43</v>
      </c>
      <c r="D77" s="2">
        <v>2</v>
      </c>
      <c r="E77" s="2"/>
    </row>
    <row r="78" spans="1:5">
      <c r="A78" s="4"/>
      <c r="B78" s="2"/>
      <c r="C78" s="2" t="s">
        <v>44</v>
      </c>
      <c r="D78" s="2">
        <v>3</v>
      </c>
      <c r="E78" s="2"/>
    </row>
    <row r="79" spans="1:5">
      <c r="A79" s="4"/>
      <c r="B79" s="2"/>
      <c r="C79" s="2" t="s">
        <v>45</v>
      </c>
      <c r="D79" s="2">
        <v>4</v>
      </c>
      <c r="E79" s="2"/>
    </row>
    <row r="80" spans="1:5">
      <c r="A80" s="4"/>
      <c r="B80" s="2"/>
      <c r="C80" s="2" t="s">
        <v>46</v>
      </c>
      <c r="D80" s="2">
        <v>5</v>
      </c>
      <c r="E80" s="2"/>
    </row>
    <row r="81" spans="1:5">
      <c r="A81" s="1" t="s">
        <v>52</v>
      </c>
      <c r="B81" t="s">
        <v>3</v>
      </c>
      <c r="C81" t="s">
        <v>24</v>
      </c>
      <c r="D81">
        <v>0</v>
      </c>
    </row>
    <row r="82" spans="1:5">
      <c r="C82" t="s">
        <v>25</v>
      </c>
      <c r="D82">
        <v>1</v>
      </c>
    </row>
    <row r="83" spans="1:5">
      <c r="A83" s="4" t="s">
        <v>53</v>
      </c>
      <c r="B83" s="2" t="s">
        <v>3</v>
      </c>
      <c r="C83" s="2" t="s">
        <v>24</v>
      </c>
      <c r="D83" s="2">
        <v>0</v>
      </c>
      <c r="E83" s="2"/>
    </row>
    <row r="84" spans="1:5">
      <c r="A84" s="4"/>
      <c r="B84" s="2"/>
      <c r="C84" s="2" t="s">
        <v>25</v>
      </c>
      <c r="D84" s="2">
        <v>1</v>
      </c>
      <c r="E84" s="2"/>
    </row>
    <row r="85" spans="1:5">
      <c r="A85" s="1" t="s">
        <v>54</v>
      </c>
      <c r="B85" t="s">
        <v>3</v>
      </c>
      <c r="C85" t="s">
        <v>24</v>
      </c>
      <c r="D85">
        <v>0</v>
      </c>
    </row>
    <row r="86" spans="1:5">
      <c r="C86" t="s">
        <v>25</v>
      </c>
      <c r="D86">
        <v>1</v>
      </c>
    </row>
    <row r="87" spans="1:5">
      <c r="A87" s="4" t="s">
        <v>55</v>
      </c>
      <c r="B87" s="2" t="s">
        <v>3</v>
      </c>
      <c r="C87" s="2" t="s">
        <v>24</v>
      </c>
      <c r="D87" s="2">
        <v>0</v>
      </c>
      <c r="E87" s="2"/>
    </row>
    <row r="88" spans="1:5">
      <c r="A88" s="4"/>
      <c r="B88" s="2"/>
      <c r="C88" s="2" t="s">
        <v>25</v>
      </c>
      <c r="D88" s="2">
        <v>1</v>
      </c>
      <c r="E88" s="2"/>
    </row>
    <row r="89" spans="1:5">
      <c r="A89" s="1" t="s">
        <v>56</v>
      </c>
      <c r="B89" t="s">
        <v>3</v>
      </c>
      <c r="C89" t="s">
        <v>24</v>
      </c>
      <c r="D89">
        <v>0</v>
      </c>
    </row>
    <row r="90" spans="1:5">
      <c r="C90" t="s">
        <v>25</v>
      </c>
      <c r="D90">
        <v>1</v>
      </c>
    </row>
    <row r="91" spans="1:5">
      <c r="A91" s="4" t="s">
        <v>57</v>
      </c>
      <c r="B91" s="2" t="s">
        <v>3</v>
      </c>
      <c r="C91" s="2" t="s">
        <v>32</v>
      </c>
      <c r="D91" s="2">
        <v>1</v>
      </c>
      <c r="E91" s="2"/>
    </row>
    <row r="92" spans="1:5">
      <c r="A92" s="4"/>
      <c r="B92" s="2"/>
      <c r="C92" s="2" t="s">
        <v>33</v>
      </c>
      <c r="D92" s="2">
        <v>2</v>
      </c>
      <c r="E92" s="2"/>
    </row>
    <row r="93" spans="1:5">
      <c r="A93" s="4"/>
      <c r="B93" s="2"/>
      <c r="C93" s="2" t="s">
        <v>34</v>
      </c>
      <c r="D93" s="2">
        <v>3</v>
      </c>
      <c r="E93" s="2"/>
    </row>
    <row r="94" spans="1:5">
      <c r="A94" s="4"/>
      <c r="B94" s="2"/>
      <c r="C94" s="2" t="s">
        <v>35</v>
      </c>
      <c r="D94" s="2">
        <v>4</v>
      </c>
      <c r="E94" s="2"/>
    </row>
    <row r="95" spans="1:5">
      <c r="A95" s="4"/>
      <c r="B95" s="2"/>
      <c r="C95" s="2" t="s">
        <v>36</v>
      </c>
      <c r="D95" s="2">
        <v>5</v>
      </c>
      <c r="E95" s="2"/>
    </row>
    <row r="96" spans="1:5">
      <c r="A96" s="1" t="s">
        <v>58</v>
      </c>
      <c r="B96" t="s">
        <v>3</v>
      </c>
      <c r="C96" t="s">
        <v>32</v>
      </c>
      <c r="D96">
        <v>1</v>
      </c>
    </row>
    <row r="97" spans="1:5">
      <c r="C97" t="s">
        <v>33</v>
      </c>
      <c r="D97">
        <v>2</v>
      </c>
    </row>
    <row r="98" spans="1:5">
      <c r="C98" t="s">
        <v>34</v>
      </c>
      <c r="D98">
        <v>3</v>
      </c>
    </row>
    <row r="99" spans="1:5">
      <c r="C99" t="s">
        <v>35</v>
      </c>
      <c r="D99">
        <v>4</v>
      </c>
    </row>
    <row r="100" spans="1:5">
      <c r="C100" t="s">
        <v>36</v>
      </c>
      <c r="D100">
        <v>5</v>
      </c>
    </row>
    <row r="101" spans="1:5">
      <c r="A101" s="4" t="s">
        <v>59</v>
      </c>
      <c r="B101" s="2" t="s">
        <v>3</v>
      </c>
      <c r="C101" s="2" t="s">
        <v>32</v>
      </c>
      <c r="D101" s="2">
        <v>1</v>
      </c>
      <c r="E101" s="2"/>
    </row>
    <row r="102" spans="1:5">
      <c r="A102" s="4"/>
      <c r="B102" s="2"/>
      <c r="C102" s="2" t="s">
        <v>33</v>
      </c>
      <c r="D102" s="2">
        <v>2</v>
      </c>
      <c r="E102" s="2"/>
    </row>
    <row r="103" spans="1:5">
      <c r="A103" s="4"/>
      <c r="B103" s="2"/>
      <c r="C103" s="2" t="s">
        <v>34</v>
      </c>
      <c r="D103" s="2">
        <v>3</v>
      </c>
      <c r="E103" s="2"/>
    </row>
    <row r="104" spans="1:5">
      <c r="A104" s="4"/>
      <c r="B104" s="2"/>
      <c r="C104" s="2" t="s">
        <v>35</v>
      </c>
      <c r="D104" s="2">
        <v>4</v>
      </c>
      <c r="E104" s="2"/>
    </row>
    <row r="105" spans="1:5">
      <c r="A105" s="4"/>
      <c r="B105" s="2"/>
      <c r="C105" s="2" t="s">
        <v>36</v>
      </c>
      <c r="D105" s="2">
        <v>5</v>
      </c>
      <c r="E105" s="2"/>
    </row>
    <row r="106" spans="1:5">
      <c r="A106" s="1" t="s">
        <v>60</v>
      </c>
      <c r="B106" t="s">
        <v>3</v>
      </c>
      <c r="C106" t="s">
        <v>32</v>
      </c>
      <c r="D106">
        <v>1</v>
      </c>
    </row>
    <row r="107" spans="1:5">
      <c r="C107" t="s">
        <v>33</v>
      </c>
      <c r="D107">
        <v>2</v>
      </c>
    </row>
    <row r="108" spans="1:5">
      <c r="C108" t="s">
        <v>34</v>
      </c>
      <c r="D108">
        <v>3</v>
      </c>
    </row>
    <row r="109" spans="1:5">
      <c r="C109" t="s">
        <v>35</v>
      </c>
      <c r="D109">
        <v>4</v>
      </c>
    </row>
    <row r="110" spans="1:5">
      <c r="C110" t="s">
        <v>36</v>
      </c>
      <c r="D110">
        <v>5</v>
      </c>
    </row>
    <row r="111" spans="1:5">
      <c r="A111" s="4" t="s">
        <v>61</v>
      </c>
      <c r="B111" s="2" t="s">
        <v>3</v>
      </c>
      <c r="C111" s="2" t="s">
        <v>41</v>
      </c>
      <c r="D111" s="2">
        <v>1</v>
      </c>
      <c r="E111" s="2" t="s">
        <v>42</v>
      </c>
    </row>
    <row r="112" spans="1:5">
      <c r="A112" s="4"/>
      <c r="B112" s="2"/>
      <c r="C112" s="2" t="s">
        <v>43</v>
      </c>
      <c r="D112" s="2">
        <v>2</v>
      </c>
      <c r="E112" s="2"/>
    </row>
    <row r="113" spans="1:5">
      <c r="A113" s="4"/>
      <c r="B113" s="2"/>
      <c r="C113" s="2" t="s">
        <v>44</v>
      </c>
      <c r="D113" s="2">
        <v>3</v>
      </c>
      <c r="E113" s="2"/>
    </row>
    <row r="114" spans="1:5">
      <c r="A114" s="4"/>
      <c r="B114" s="2"/>
      <c r="C114" s="2" t="s">
        <v>45</v>
      </c>
      <c r="D114" s="2">
        <v>4</v>
      </c>
      <c r="E114" s="2"/>
    </row>
    <row r="115" spans="1:5">
      <c r="A115" s="4"/>
      <c r="B115" s="2"/>
      <c r="C115" s="2" t="s">
        <v>46</v>
      </c>
      <c r="D115" s="2">
        <v>5</v>
      </c>
      <c r="E115" s="2"/>
    </row>
    <row r="116" spans="1:5">
      <c r="A116" s="1" t="s">
        <v>62</v>
      </c>
      <c r="B116" t="s">
        <v>3</v>
      </c>
      <c r="C116" t="s">
        <v>41</v>
      </c>
      <c r="D116">
        <v>1</v>
      </c>
      <c r="E116" t="s">
        <v>48</v>
      </c>
    </row>
    <row r="117" spans="1:5">
      <c r="C117" t="s">
        <v>43</v>
      </c>
      <c r="D117">
        <v>2</v>
      </c>
    </row>
    <row r="118" spans="1:5">
      <c r="C118" t="s">
        <v>44</v>
      </c>
      <c r="D118">
        <v>3</v>
      </c>
    </row>
    <row r="119" spans="1:5">
      <c r="C119" t="s">
        <v>45</v>
      </c>
      <c r="D119">
        <v>4</v>
      </c>
    </row>
    <row r="120" spans="1:5">
      <c r="C120" t="s">
        <v>46</v>
      </c>
      <c r="D120">
        <v>5</v>
      </c>
    </row>
    <row r="121" spans="1:5">
      <c r="A121" s="4" t="s">
        <v>63</v>
      </c>
      <c r="B121" s="2" t="s">
        <v>3</v>
      </c>
      <c r="C121" s="2" t="s">
        <v>41</v>
      </c>
      <c r="D121" s="2">
        <v>1</v>
      </c>
      <c r="E121" s="2" t="s">
        <v>42</v>
      </c>
    </row>
    <row r="122" spans="1:5">
      <c r="A122" s="4"/>
      <c r="B122" s="2"/>
      <c r="C122" s="2" t="s">
        <v>43</v>
      </c>
      <c r="D122" s="2">
        <v>2</v>
      </c>
      <c r="E122" s="2"/>
    </row>
    <row r="123" spans="1:5">
      <c r="A123" s="4"/>
      <c r="B123" s="2"/>
      <c r="C123" s="2" t="s">
        <v>44</v>
      </c>
      <c r="D123" s="2">
        <v>3</v>
      </c>
      <c r="E123" s="2"/>
    </row>
    <row r="124" spans="1:5">
      <c r="A124" s="4"/>
      <c r="B124" s="2"/>
      <c r="C124" s="2" t="s">
        <v>45</v>
      </c>
      <c r="D124" s="2">
        <v>4</v>
      </c>
      <c r="E124" s="2"/>
    </row>
    <row r="125" spans="1:5">
      <c r="A125" s="4"/>
      <c r="B125" s="2"/>
      <c r="C125" s="2" t="s">
        <v>46</v>
      </c>
      <c r="D125" s="2">
        <v>5</v>
      </c>
      <c r="E125" s="2"/>
    </row>
    <row r="126" spans="1:5">
      <c r="A126" s="1" t="s">
        <v>64</v>
      </c>
      <c r="B126" t="s">
        <v>3</v>
      </c>
      <c r="C126" t="s">
        <v>41</v>
      </c>
      <c r="D126">
        <v>1</v>
      </c>
      <c r="E126" t="s">
        <v>42</v>
      </c>
    </row>
    <row r="127" spans="1:5">
      <c r="C127" t="s">
        <v>43</v>
      </c>
      <c r="D127">
        <v>2</v>
      </c>
    </row>
    <row r="128" spans="1:5">
      <c r="C128" t="s">
        <v>44</v>
      </c>
      <c r="D128">
        <v>3</v>
      </c>
    </row>
    <row r="129" spans="1:5">
      <c r="C129" t="s">
        <v>45</v>
      </c>
      <c r="D129">
        <v>4</v>
      </c>
    </row>
    <row r="130" spans="1:5">
      <c r="C130" t="s">
        <v>46</v>
      </c>
      <c r="D130">
        <v>5</v>
      </c>
    </row>
    <row r="131" spans="1:5">
      <c r="A131" s="4" t="s">
        <v>65</v>
      </c>
      <c r="B131" s="2" t="s">
        <v>3</v>
      </c>
      <c r="C131" s="2" t="s">
        <v>41</v>
      </c>
      <c r="D131" s="2">
        <v>1</v>
      </c>
      <c r="E131" s="2" t="s">
        <v>42</v>
      </c>
    </row>
    <row r="132" spans="1:5">
      <c r="A132" s="4"/>
      <c r="B132" s="2"/>
      <c r="C132" s="2" t="s">
        <v>43</v>
      </c>
      <c r="D132" s="2">
        <v>2</v>
      </c>
      <c r="E132" s="2"/>
    </row>
    <row r="133" spans="1:5">
      <c r="A133" s="4"/>
      <c r="B133" s="2"/>
      <c r="C133" s="2" t="s">
        <v>44</v>
      </c>
      <c r="D133" s="2">
        <v>3</v>
      </c>
      <c r="E133" s="2"/>
    </row>
    <row r="134" spans="1:5">
      <c r="A134" s="4"/>
      <c r="B134" s="2"/>
      <c r="C134" s="2" t="s">
        <v>45</v>
      </c>
      <c r="D134" s="2">
        <v>4</v>
      </c>
      <c r="E134" s="2"/>
    </row>
    <row r="135" spans="1:5">
      <c r="A135" s="4"/>
      <c r="B135" s="2"/>
      <c r="C135" s="2" t="s">
        <v>46</v>
      </c>
      <c r="D135" s="2">
        <v>5</v>
      </c>
      <c r="E135" s="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216B-1C24-45AB-A7C0-804C3E12BD2C}">
  <dimension ref="A1:AL24"/>
  <sheetViews>
    <sheetView tabSelected="1" topLeftCell="AH1" workbookViewId="0">
      <selection activeCell="AH1" sqref="AH1"/>
    </sheetView>
  </sheetViews>
  <sheetFormatPr defaultRowHeight="15"/>
  <cols>
    <col min="1" max="1" width="16.28515625" customWidth="1"/>
    <col min="3" max="3" width="15.85546875" customWidth="1"/>
    <col min="4" max="4" width="9.85546875" customWidth="1"/>
    <col min="5" max="5" width="17" customWidth="1"/>
    <col min="6" max="6" width="21.140625" customWidth="1"/>
    <col min="7" max="7" width="24.85546875" customWidth="1"/>
    <col min="8" max="8" width="19.42578125" customWidth="1"/>
    <col min="9" max="9" width="25" customWidth="1"/>
    <col min="10" max="10" width="38" customWidth="1"/>
    <col min="11" max="11" width="37.5703125" customWidth="1"/>
    <col min="12" max="12" width="36" customWidth="1"/>
    <col min="13" max="13" width="36.28515625" customWidth="1"/>
    <col min="14" max="14" width="36.140625" customWidth="1"/>
    <col min="15" max="15" width="37" customWidth="1"/>
    <col min="16" max="16" width="35.7109375" customWidth="1"/>
    <col min="17" max="17" width="27.5703125" customWidth="1"/>
    <col min="18" max="18" width="27.140625" customWidth="1"/>
    <col min="19" max="19" width="27.28515625" customWidth="1"/>
    <col min="20" max="20" width="26.140625" customWidth="1"/>
    <col min="21" max="21" width="35.42578125" customWidth="1"/>
    <col min="22" max="22" width="35.5703125" customWidth="1"/>
    <col min="23" max="23" width="37.85546875" customWidth="1"/>
    <col min="24" max="25" width="34.85546875" customWidth="1"/>
    <col min="26" max="27" width="28" customWidth="1"/>
    <col min="28" max="28" width="27.7109375" customWidth="1"/>
    <col min="29" max="29" width="26.42578125" customWidth="1"/>
    <col min="30" max="30" width="28.7109375" customWidth="1"/>
    <col min="31" max="31" width="26.85546875" customWidth="1"/>
    <col min="32" max="32" width="27" customWidth="1"/>
    <col min="33" max="34" width="28" customWidth="1"/>
    <col min="35" max="35" width="28.5703125" customWidth="1"/>
    <col min="36" max="36" width="27.85546875" customWidth="1"/>
    <col min="37" max="37" width="30.5703125" customWidth="1"/>
    <col min="38" max="38" width="27.140625" customWidth="1"/>
  </cols>
  <sheetData>
    <row r="1" spans="1:38" s="1" customFormat="1">
      <c r="A1" s="1" t="s">
        <v>0</v>
      </c>
      <c r="B1" s="1" t="s">
        <v>2</v>
      </c>
      <c r="C1" s="1" t="s">
        <v>8</v>
      </c>
      <c r="D1" s="1" t="s">
        <v>15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66</v>
      </c>
      <c r="J1" s="1" t="s">
        <v>23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47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67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</row>
    <row r="2" spans="1:38">
      <c r="A2" t="s">
        <v>68</v>
      </c>
      <c r="B2">
        <v>0</v>
      </c>
      <c r="C2">
        <v>0</v>
      </c>
      <c r="D2">
        <v>1</v>
      </c>
      <c r="E2">
        <v>1</v>
      </c>
      <c r="F2">
        <v>0</v>
      </c>
      <c r="G2">
        <v>0</v>
      </c>
      <c r="H2">
        <v>1</v>
      </c>
      <c r="I2">
        <v>3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3</v>
      </c>
      <c r="U2">
        <v>4</v>
      </c>
      <c r="V2">
        <v>4</v>
      </c>
      <c r="W2">
        <v>3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5</v>
      </c>
      <c r="AE2">
        <v>5</v>
      </c>
      <c r="AF2">
        <v>4</v>
      </c>
      <c r="AG2">
        <v>3</v>
      </c>
      <c r="AH2">
        <v>4</v>
      </c>
      <c r="AI2">
        <v>5</v>
      </c>
      <c r="AJ2">
        <v>2</v>
      </c>
      <c r="AK2">
        <v>2</v>
      </c>
      <c r="AL2">
        <v>1</v>
      </c>
    </row>
    <row r="3" spans="1:38">
      <c r="A3" t="s">
        <v>69</v>
      </c>
      <c r="B3">
        <v>1</v>
      </c>
      <c r="C3">
        <v>0</v>
      </c>
      <c r="D3">
        <v>1</v>
      </c>
      <c r="E3">
        <v>1</v>
      </c>
      <c r="F3">
        <v>1</v>
      </c>
      <c r="G3">
        <v>0</v>
      </c>
      <c r="H3">
        <v>1</v>
      </c>
      <c r="I3">
        <v>1.5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3</v>
      </c>
      <c r="U3">
        <v>4</v>
      </c>
      <c r="V3">
        <v>3</v>
      </c>
      <c r="W3">
        <v>2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3</v>
      </c>
      <c r="AE3">
        <v>4</v>
      </c>
      <c r="AF3">
        <v>2</v>
      </c>
      <c r="AG3">
        <v>2</v>
      </c>
      <c r="AH3">
        <v>2</v>
      </c>
      <c r="AI3">
        <v>4</v>
      </c>
      <c r="AJ3">
        <v>2</v>
      </c>
      <c r="AK3">
        <v>2</v>
      </c>
      <c r="AL3">
        <v>1</v>
      </c>
    </row>
    <row r="4" spans="1:38">
      <c r="A4" t="s">
        <v>70</v>
      </c>
      <c r="B4">
        <v>1</v>
      </c>
      <c r="C4">
        <v>0</v>
      </c>
      <c r="D4">
        <v>1</v>
      </c>
      <c r="E4">
        <v>1</v>
      </c>
      <c r="F4">
        <v>0</v>
      </c>
      <c r="G4">
        <v>0</v>
      </c>
      <c r="H4">
        <v>1</v>
      </c>
      <c r="I4">
        <v>2.5</v>
      </c>
      <c r="J4">
        <v>1</v>
      </c>
      <c r="K4">
        <v>1</v>
      </c>
      <c r="L4">
        <v>0</v>
      </c>
      <c r="M4">
        <v>1</v>
      </c>
      <c r="N4">
        <v>1</v>
      </c>
      <c r="O4">
        <v>0</v>
      </c>
      <c r="P4">
        <v>1</v>
      </c>
      <c r="Q4">
        <v>1</v>
      </c>
      <c r="R4">
        <v>2</v>
      </c>
      <c r="S4">
        <v>1</v>
      </c>
      <c r="T4">
        <v>4</v>
      </c>
      <c r="U4">
        <v>5</v>
      </c>
      <c r="V4">
        <v>2</v>
      </c>
      <c r="W4">
        <v>2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4</v>
      </c>
      <c r="AE4">
        <v>4</v>
      </c>
      <c r="AF4">
        <v>4</v>
      </c>
      <c r="AG4">
        <v>3</v>
      </c>
      <c r="AH4">
        <v>1</v>
      </c>
      <c r="AI4">
        <v>5</v>
      </c>
      <c r="AJ4">
        <v>2</v>
      </c>
      <c r="AK4">
        <v>2</v>
      </c>
      <c r="AL4">
        <v>1</v>
      </c>
    </row>
    <row r="5" spans="1:38">
      <c r="A5" t="s">
        <v>71</v>
      </c>
      <c r="B5">
        <v>1</v>
      </c>
      <c r="C5">
        <v>0</v>
      </c>
      <c r="D5">
        <v>1</v>
      </c>
      <c r="E5">
        <v>1</v>
      </c>
      <c r="F5">
        <v>0</v>
      </c>
      <c r="G5">
        <v>0</v>
      </c>
      <c r="H5">
        <v>1</v>
      </c>
      <c r="I5">
        <v>3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2</v>
      </c>
      <c r="U5">
        <v>5</v>
      </c>
      <c r="V5">
        <v>2</v>
      </c>
      <c r="W5">
        <v>2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4</v>
      </c>
      <c r="AE5">
        <v>4</v>
      </c>
      <c r="AF5">
        <v>4</v>
      </c>
      <c r="AG5">
        <v>1</v>
      </c>
      <c r="AH5">
        <v>2</v>
      </c>
      <c r="AI5">
        <v>5</v>
      </c>
      <c r="AJ5">
        <v>1</v>
      </c>
      <c r="AK5">
        <v>1</v>
      </c>
      <c r="AL5">
        <v>1</v>
      </c>
    </row>
    <row r="6" spans="1:38">
      <c r="A6" t="s">
        <v>72</v>
      </c>
      <c r="B6">
        <v>1</v>
      </c>
      <c r="C6">
        <v>0</v>
      </c>
      <c r="D6">
        <v>1</v>
      </c>
      <c r="E6">
        <v>1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2</v>
      </c>
      <c r="U6">
        <v>3</v>
      </c>
      <c r="V6">
        <v>3</v>
      </c>
      <c r="W6">
        <v>3</v>
      </c>
      <c r="X6">
        <v>3</v>
      </c>
      <c r="Y6">
        <v>1</v>
      </c>
      <c r="Z6">
        <v>1</v>
      </c>
      <c r="AA6">
        <v>0</v>
      </c>
      <c r="AB6">
        <v>1</v>
      </c>
      <c r="AC6">
        <v>1</v>
      </c>
      <c r="AD6">
        <v>3</v>
      </c>
      <c r="AE6">
        <v>4</v>
      </c>
      <c r="AF6">
        <v>4</v>
      </c>
      <c r="AG6">
        <v>4</v>
      </c>
      <c r="AH6">
        <v>1</v>
      </c>
      <c r="AI6">
        <v>3</v>
      </c>
      <c r="AJ6">
        <v>2</v>
      </c>
      <c r="AK6">
        <v>1</v>
      </c>
      <c r="AL6">
        <v>1</v>
      </c>
    </row>
    <row r="7" spans="1:38">
      <c r="A7" t="s">
        <v>73</v>
      </c>
      <c r="B7">
        <v>1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5</v>
      </c>
      <c r="J7">
        <v>1</v>
      </c>
      <c r="K7">
        <v>0</v>
      </c>
      <c r="L7">
        <v>0</v>
      </c>
      <c r="M7">
        <v>1</v>
      </c>
      <c r="N7">
        <v>1</v>
      </c>
      <c r="O7">
        <v>0</v>
      </c>
      <c r="P7">
        <v>3</v>
      </c>
      <c r="Q7">
        <v>1</v>
      </c>
      <c r="R7">
        <v>3</v>
      </c>
      <c r="S7">
        <v>1</v>
      </c>
      <c r="T7">
        <v>3</v>
      </c>
      <c r="U7">
        <v>4</v>
      </c>
      <c r="V7">
        <v>2</v>
      </c>
      <c r="W7">
        <v>2</v>
      </c>
      <c r="X7">
        <v>2</v>
      </c>
      <c r="Y7">
        <v>1</v>
      </c>
      <c r="Z7">
        <v>1</v>
      </c>
      <c r="AA7">
        <v>0</v>
      </c>
      <c r="AB7">
        <v>1</v>
      </c>
      <c r="AC7">
        <v>1</v>
      </c>
      <c r="AD7">
        <v>4</v>
      </c>
      <c r="AE7">
        <v>4</v>
      </c>
      <c r="AF7">
        <v>4</v>
      </c>
      <c r="AG7">
        <v>4</v>
      </c>
      <c r="AH7">
        <v>2</v>
      </c>
      <c r="AI7">
        <v>2</v>
      </c>
      <c r="AJ7">
        <v>2</v>
      </c>
      <c r="AK7">
        <v>2</v>
      </c>
      <c r="AL7">
        <v>1</v>
      </c>
    </row>
    <row r="8" spans="1:38">
      <c r="A8" t="s">
        <v>74</v>
      </c>
      <c r="B8">
        <v>1</v>
      </c>
      <c r="C8">
        <v>0</v>
      </c>
      <c r="D8">
        <v>1</v>
      </c>
      <c r="E8">
        <v>1</v>
      </c>
      <c r="F8">
        <v>0</v>
      </c>
      <c r="G8">
        <v>0</v>
      </c>
      <c r="H8">
        <v>1</v>
      </c>
      <c r="I8">
        <v>2</v>
      </c>
      <c r="J8">
        <v>0</v>
      </c>
      <c r="K8">
        <v>1</v>
      </c>
      <c r="L8">
        <v>0</v>
      </c>
      <c r="M8">
        <v>1</v>
      </c>
      <c r="N8">
        <v>1</v>
      </c>
      <c r="O8">
        <v>0</v>
      </c>
      <c r="P8">
        <v>2</v>
      </c>
      <c r="Q8">
        <v>1</v>
      </c>
      <c r="R8">
        <v>2</v>
      </c>
      <c r="S8">
        <v>2</v>
      </c>
      <c r="T8">
        <v>2</v>
      </c>
      <c r="U8">
        <v>5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4</v>
      </c>
      <c r="AE8">
        <v>4</v>
      </c>
      <c r="AF8">
        <v>4</v>
      </c>
      <c r="AG8">
        <v>4</v>
      </c>
      <c r="AH8">
        <v>2</v>
      </c>
      <c r="AI8">
        <v>5</v>
      </c>
      <c r="AJ8">
        <v>1</v>
      </c>
      <c r="AK8">
        <v>1</v>
      </c>
      <c r="AL8">
        <v>1</v>
      </c>
    </row>
    <row r="9" spans="1:38">
      <c r="A9" t="s">
        <v>75</v>
      </c>
      <c r="B9">
        <v>1</v>
      </c>
      <c r="C9">
        <v>0</v>
      </c>
      <c r="D9">
        <v>1</v>
      </c>
      <c r="E9">
        <v>1</v>
      </c>
      <c r="F9">
        <v>0</v>
      </c>
      <c r="G9">
        <v>0</v>
      </c>
      <c r="H9">
        <v>1</v>
      </c>
      <c r="I9">
        <v>5</v>
      </c>
      <c r="J9">
        <v>1</v>
      </c>
      <c r="K9">
        <v>0</v>
      </c>
      <c r="L9">
        <v>1</v>
      </c>
      <c r="M9">
        <v>1</v>
      </c>
      <c r="N9">
        <v>1</v>
      </c>
      <c r="O9">
        <v>0</v>
      </c>
      <c r="P9">
        <v>3</v>
      </c>
      <c r="Q9">
        <v>2</v>
      </c>
      <c r="R9">
        <v>3</v>
      </c>
      <c r="S9">
        <v>4</v>
      </c>
      <c r="T9">
        <v>3</v>
      </c>
      <c r="U9">
        <v>4</v>
      </c>
      <c r="V9">
        <v>2</v>
      </c>
      <c r="W9">
        <v>3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4</v>
      </c>
      <c r="AE9">
        <v>3</v>
      </c>
      <c r="AF9">
        <v>4</v>
      </c>
      <c r="AG9">
        <v>4</v>
      </c>
      <c r="AH9" s="5"/>
      <c r="AI9" s="5"/>
      <c r="AJ9" s="5"/>
      <c r="AK9" s="5"/>
      <c r="AL9" s="5"/>
    </row>
    <row r="10" spans="1:38">
      <c r="A10" t="s">
        <v>76</v>
      </c>
      <c r="B10">
        <v>0</v>
      </c>
      <c r="C10">
        <v>0</v>
      </c>
      <c r="D10">
        <v>1</v>
      </c>
      <c r="E10">
        <v>1</v>
      </c>
      <c r="F10">
        <v>0</v>
      </c>
      <c r="G10">
        <v>0</v>
      </c>
      <c r="H10">
        <v>1</v>
      </c>
      <c r="I10">
        <v>2</v>
      </c>
      <c r="J10">
        <v>1</v>
      </c>
      <c r="K10">
        <v>1</v>
      </c>
      <c r="L10">
        <v>0</v>
      </c>
      <c r="M10">
        <v>1</v>
      </c>
      <c r="N10">
        <v>1</v>
      </c>
      <c r="O10">
        <v>0</v>
      </c>
      <c r="P10">
        <v>3</v>
      </c>
      <c r="Q10">
        <v>1</v>
      </c>
      <c r="R10">
        <v>3</v>
      </c>
      <c r="S10">
        <v>1</v>
      </c>
      <c r="T10">
        <v>3</v>
      </c>
      <c r="U10">
        <v>4</v>
      </c>
      <c r="V10">
        <v>3</v>
      </c>
      <c r="W10">
        <v>4</v>
      </c>
      <c r="X10">
        <v>2</v>
      </c>
      <c r="Y10">
        <v>1</v>
      </c>
      <c r="Z10">
        <v>1</v>
      </c>
      <c r="AA10">
        <v>1</v>
      </c>
      <c r="AB10">
        <v>1</v>
      </c>
      <c r="AC10">
        <v>1</v>
      </c>
      <c r="AD10">
        <v>4</v>
      </c>
      <c r="AE10">
        <v>4</v>
      </c>
      <c r="AF10">
        <v>4</v>
      </c>
      <c r="AG10">
        <v>2</v>
      </c>
      <c r="AH10">
        <v>3</v>
      </c>
      <c r="AI10">
        <v>5</v>
      </c>
      <c r="AJ10">
        <v>2</v>
      </c>
      <c r="AK10">
        <v>3</v>
      </c>
      <c r="AL10">
        <v>1</v>
      </c>
    </row>
    <row r="11" spans="1:38">
      <c r="A11" t="s">
        <v>77</v>
      </c>
      <c r="B11">
        <v>1</v>
      </c>
      <c r="C11">
        <v>0</v>
      </c>
      <c r="D11">
        <v>1</v>
      </c>
      <c r="E11">
        <v>1</v>
      </c>
      <c r="F11">
        <v>0</v>
      </c>
      <c r="G11">
        <v>0</v>
      </c>
      <c r="H11">
        <v>1</v>
      </c>
      <c r="I11">
        <v>1</v>
      </c>
      <c r="J11">
        <v>1</v>
      </c>
      <c r="K11">
        <v>1</v>
      </c>
      <c r="L11">
        <v>0</v>
      </c>
      <c r="M11">
        <v>1</v>
      </c>
      <c r="N11">
        <v>0</v>
      </c>
      <c r="O11">
        <v>0</v>
      </c>
      <c r="P11">
        <v>1</v>
      </c>
      <c r="Q11">
        <v>1</v>
      </c>
      <c r="R11">
        <v>1</v>
      </c>
      <c r="S11">
        <v>1</v>
      </c>
      <c r="T11">
        <v>3</v>
      </c>
      <c r="U11">
        <v>4</v>
      </c>
      <c r="V11">
        <v>2</v>
      </c>
      <c r="W11">
        <v>3</v>
      </c>
      <c r="X11">
        <v>2</v>
      </c>
      <c r="Y11">
        <v>1</v>
      </c>
      <c r="Z11">
        <v>1</v>
      </c>
      <c r="AA11">
        <v>1</v>
      </c>
      <c r="AB11">
        <v>1</v>
      </c>
      <c r="AC11">
        <v>1</v>
      </c>
      <c r="AD11">
        <v>3</v>
      </c>
      <c r="AE11">
        <v>3</v>
      </c>
      <c r="AF11">
        <v>3</v>
      </c>
      <c r="AG11">
        <v>3</v>
      </c>
      <c r="AH11">
        <v>2</v>
      </c>
      <c r="AI11">
        <v>4</v>
      </c>
      <c r="AJ11">
        <v>2</v>
      </c>
      <c r="AK11">
        <v>2</v>
      </c>
      <c r="AL11">
        <v>2</v>
      </c>
    </row>
    <row r="12" spans="1:38">
      <c r="A12" t="s">
        <v>78</v>
      </c>
      <c r="B12">
        <v>0</v>
      </c>
      <c r="C12">
        <v>0</v>
      </c>
      <c r="D12">
        <v>1</v>
      </c>
      <c r="E12">
        <v>1</v>
      </c>
      <c r="F12">
        <v>0</v>
      </c>
      <c r="G12">
        <v>0</v>
      </c>
      <c r="H12">
        <v>1</v>
      </c>
      <c r="I12">
        <v>7</v>
      </c>
      <c r="J12">
        <v>1</v>
      </c>
      <c r="K12">
        <v>1</v>
      </c>
      <c r="L12">
        <v>0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5</v>
      </c>
      <c r="V12">
        <v>4</v>
      </c>
      <c r="W12">
        <v>4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4</v>
      </c>
      <c r="AE12">
        <v>4</v>
      </c>
      <c r="AF12">
        <v>4</v>
      </c>
      <c r="AG12">
        <v>4</v>
      </c>
      <c r="AH12">
        <v>1</v>
      </c>
      <c r="AI12">
        <v>5</v>
      </c>
      <c r="AJ12">
        <v>1</v>
      </c>
      <c r="AK12">
        <v>1</v>
      </c>
      <c r="AL12">
        <v>1</v>
      </c>
    </row>
    <row r="13" spans="1:38">
      <c r="A13" t="s">
        <v>79</v>
      </c>
      <c r="B13">
        <v>1</v>
      </c>
      <c r="C13">
        <v>0</v>
      </c>
      <c r="D13">
        <v>1</v>
      </c>
      <c r="E13">
        <v>1</v>
      </c>
      <c r="F13">
        <v>1</v>
      </c>
      <c r="G13">
        <v>0</v>
      </c>
      <c r="H13">
        <v>1</v>
      </c>
      <c r="I13">
        <v>1.5</v>
      </c>
      <c r="J13">
        <v>1</v>
      </c>
      <c r="K13">
        <v>1</v>
      </c>
      <c r="L13">
        <v>0</v>
      </c>
      <c r="M13">
        <v>1</v>
      </c>
      <c r="N13">
        <v>1</v>
      </c>
      <c r="O13">
        <v>0</v>
      </c>
      <c r="P13" s="5"/>
      <c r="Q13" s="5"/>
      <c r="R13" s="5"/>
      <c r="S13" s="5"/>
      <c r="T13">
        <v>4</v>
      </c>
      <c r="U13">
        <v>5</v>
      </c>
      <c r="V13">
        <v>1</v>
      </c>
      <c r="W13">
        <v>2</v>
      </c>
      <c r="X13">
        <v>1</v>
      </c>
      <c r="Y13">
        <v>1</v>
      </c>
      <c r="Z13">
        <v>1</v>
      </c>
      <c r="AA13">
        <v>0</v>
      </c>
      <c r="AB13">
        <v>1</v>
      </c>
      <c r="AC13">
        <v>1</v>
      </c>
      <c r="AD13">
        <v>4</v>
      </c>
      <c r="AE13">
        <v>4</v>
      </c>
      <c r="AF13">
        <v>4</v>
      </c>
      <c r="AG13">
        <v>4</v>
      </c>
      <c r="AH13">
        <v>3</v>
      </c>
      <c r="AI13">
        <v>5</v>
      </c>
      <c r="AJ13">
        <v>1</v>
      </c>
      <c r="AK13">
        <v>1</v>
      </c>
      <c r="AL13">
        <v>1</v>
      </c>
    </row>
    <row r="14" spans="1:38">
      <c r="A14" t="s">
        <v>80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0.9</v>
      </c>
      <c r="J14">
        <v>1</v>
      </c>
      <c r="K14">
        <v>1</v>
      </c>
      <c r="L14">
        <v>0</v>
      </c>
      <c r="M14">
        <v>1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4</v>
      </c>
      <c r="V14">
        <v>2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3</v>
      </c>
      <c r="AE14">
        <v>3</v>
      </c>
      <c r="AF14">
        <v>3</v>
      </c>
      <c r="AG14">
        <v>3</v>
      </c>
      <c r="AH14" s="5"/>
      <c r="AI14" s="5"/>
      <c r="AJ14" s="5"/>
      <c r="AK14" s="5"/>
      <c r="AL14" s="5"/>
    </row>
    <row r="15" spans="1:38">
      <c r="A15" t="s">
        <v>81</v>
      </c>
      <c r="B15">
        <v>0</v>
      </c>
      <c r="C15">
        <v>0</v>
      </c>
      <c r="D15">
        <v>1</v>
      </c>
      <c r="E15">
        <v>1</v>
      </c>
      <c r="F15">
        <v>0</v>
      </c>
      <c r="G15">
        <v>0</v>
      </c>
      <c r="H15">
        <v>1</v>
      </c>
      <c r="I15">
        <v>1</v>
      </c>
      <c r="J15">
        <v>1</v>
      </c>
      <c r="K15">
        <v>1</v>
      </c>
      <c r="L15">
        <v>0</v>
      </c>
      <c r="M15">
        <v>0</v>
      </c>
      <c r="N15">
        <v>1</v>
      </c>
      <c r="O15">
        <v>0</v>
      </c>
      <c r="P15" s="5"/>
      <c r="Q15" s="5"/>
      <c r="R15" s="5"/>
      <c r="S15" s="5"/>
      <c r="T15">
        <v>3</v>
      </c>
      <c r="U15">
        <v>4</v>
      </c>
      <c r="V15">
        <v>4</v>
      </c>
      <c r="W15">
        <v>3</v>
      </c>
      <c r="X15">
        <v>2</v>
      </c>
      <c r="Y15">
        <v>1</v>
      </c>
      <c r="Z15">
        <v>1</v>
      </c>
      <c r="AA15">
        <v>0</v>
      </c>
      <c r="AB15">
        <v>1</v>
      </c>
      <c r="AC15">
        <v>0</v>
      </c>
      <c r="AD15">
        <v>3</v>
      </c>
      <c r="AE15">
        <v>4</v>
      </c>
      <c r="AF15">
        <v>4</v>
      </c>
      <c r="AG15">
        <v>3</v>
      </c>
      <c r="AH15">
        <v>4</v>
      </c>
      <c r="AI15">
        <v>5</v>
      </c>
      <c r="AJ15">
        <v>4</v>
      </c>
      <c r="AK15">
        <v>5</v>
      </c>
      <c r="AL15">
        <v>4</v>
      </c>
    </row>
    <row r="16" spans="1:38">
      <c r="A16" t="s">
        <v>82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H16">
        <v>1</v>
      </c>
      <c r="I16">
        <v>1</v>
      </c>
      <c r="J16">
        <v>1</v>
      </c>
      <c r="K16">
        <v>1</v>
      </c>
      <c r="L16">
        <v>0</v>
      </c>
      <c r="M16">
        <v>0</v>
      </c>
      <c r="N16">
        <v>1</v>
      </c>
      <c r="O16">
        <v>0</v>
      </c>
      <c r="P16">
        <v>3</v>
      </c>
      <c r="Q16">
        <v>3</v>
      </c>
      <c r="R16">
        <v>2</v>
      </c>
      <c r="S16">
        <v>3</v>
      </c>
      <c r="T16">
        <v>3</v>
      </c>
      <c r="U16">
        <v>4</v>
      </c>
      <c r="V16">
        <v>4</v>
      </c>
      <c r="W16">
        <v>3</v>
      </c>
      <c r="X16">
        <v>2</v>
      </c>
      <c r="Y16">
        <v>1</v>
      </c>
      <c r="Z16">
        <v>0</v>
      </c>
      <c r="AA16">
        <v>0</v>
      </c>
      <c r="AB16">
        <v>1</v>
      </c>
      <c r="AC16">
        <v>1</v>
      </c>
      <c r="AD16">
        <v>4</v>
      </c>
      <c r="AE16">
        <v>4</v>
      </c>
      <c r="AF16">
        <v>5</v>
      </c>
      <c r="AG16">
        <v>4</v>
      </c>
      <c r="AH16">
        <v>4</v>
      </c>
      <c r="AI16">
        <v>5</v>
      </c>
      <c r="AJ16">
        <v>4</v>
      </c>
      <c r="AK16">
        <v>5</v>
      </c>
      <c r="AL16">
        <v>3</v>
      </c>
    </row>
    <row r="17" spans="1:38">
      <c r="A17" t="s">
        <v>83</v>
      </c>
      <c r="B17">
        <v>1</v>
      </c>
      <c r="C17">
        <v>0</v>
      </c>
      <c r="D17">
        <v>1</v>
      </c>
      <c r="E17">
        <v>1</v>
      </c>
      <c r="F17">
        <v>0</v>
      </c>
      <c r="G17">
        <v>0</v>
      </c>
      <c r="H17">
        <v>1</v>
      </c>
      <c r="I17">
        <v>2.5</v>
      </c>
      <c r="J17">
        <v>1</v>
      </c>
      <c r="K17">
        <v>1</v>
      </c>
      <c r="L17">
        <v>0</v>
      </c>
      <c r="M17">
        <v>1</v>
      </c>
      <c r="N17">
        <v>1</v>
      </c>
      <c r="O17">
        <v>0</v>
      </c>
      <c r="P17">
        <v>2</v>
      </c>
      <c r="Q17">
        <v>1</v>
      </c>
      <c r="R17">
        <v>3</v>
      </c>
      <c r="S17">
        <v>2</v>
      </c>
      <c r="T17">
        <v>3</v>
      </c>
      <c r="U17">
        <v>4</v>
      </c>
      <c r="V17">
        <v>3</v>
      </c>
      <c r="W17">
        <v>3</v>
      </c>
      <c r="X17">
        <v>2</v>
      </c>
      <c r="Y17">
        <v>1</v>
      </c>
      <c r="Z17">
        <v>1</v>
      </c>
      <c r="AA17">
        <v>0</v>
      </c>
      <c r="AB17">
        <v>1</v>
      </c>
      <c r="AC17">
        <v>1</v>
      </c>
      <c r="AD17">
        <v>4</v>
      </c>
      <c r="AE17">
        <v>4</v>
      </c>
      <c r="AF17">
        <v>5</v>
      </c>
      <c r="AG17">
        <v>5</v>
      </c>
      <c r="AH17">
        <v>1</v>
      </c>
      <c r="AI17">
        <v>5</v>
      </c>
      <c r="AJ17">
        <v>2</v>
      </c>
      <c r="AK17">
        <v>1</v>
      </c>
      <c r="AL17">
        <v>1</v>
      </c>
    </row>
    <row r="18" spans="1:38">
      <c r="A18" t="s">
        <v>84</v>
      </c>
      <c r="B18">
        <v>1</v>
      </c>
      <c r="C18">
        <v>0</v>
      </c>
      <c r="D18">
        <v>1</v>
      </c>
      <c r="E18">
        <v>1</v>
      </c>
      <c r="F18">
        <v>0</v>
      </c>
      <c r="G18">
        <v>0</v>
      </c>
      <c r="H18">
        <v>1</v>
      </c>
      <c r="I18">
        <v>1</v>
      </c>
      <c r="J18">
        <v>1</v>
      </c>
      <c r="K18">
        <v>1</v>
      </c>
      <c r="L18">
        <v>0</v>
      </c>
      <c r="M18">
        <v>1</v>
      </c>
      <c r="N18">
        <v>1</v>
      </c>
      <c r="O18">
        <v>0</v>
      </c>
      <c r="P18">
        <v>2</v>
      </c>
      <c r="Q18">
        <v>1</v>
      </c>
      <c r="R18">
        <v>2</v>
      </c>
      <c r="S18">
        <v>2</v>
      </c>
      <c r="T18">
        <v>2</v>
      </c>
      <c r="U18">
        <v>4</v>
      </c>
      <c r="V18">
        <v>2</v>
      </c>
      <c r="W18">
        <v>2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4</v>
      </c>
      <c r="AE18">
        <v>5</v>
      </c>
      <c r="AF18">
        <v>4</v>
      </c>
      <c r="AG18">
        <v>4</v>
      </c>
      <c r="AH18">
        <v>1</v>
      </c>
      <c r="AI18">
        <v>5</v>
      </c>
      <c r="AJ18">
        <v>1</v>
      </c>
      <c r="AK18">
        <v>1</v>
      </c>
      <c r="AL18">
        <v>1</v>
      </c>
    </row>
    <row r="19" spans="1:38">
      <c r="A19" t="s">
        <v>85</v>
      </c>
      <c r="B19">
        <v>1</v>
      </c>
      <c r="C19">
        <v>0</v>
      </c>
      <c r="D19">
        <v>1</v>
      </c>
      <c r="E19">
        <v>1</v>
      </c>
      <c r="F19">
        <v>0</v>
      </c>
      <c r="G19">
        <v>0</v>
      </c>
      <c r="H19">
        <v>1</v>
      </c>
      <c r="I19">
        <v>1</v>
      </c>
      <c r="J19">
        <v>1</v>
      </c>
      <c r="K19">
        <v>1</v>
      </c>
      <c r="L19">
        <v>0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4</v>
      </c>
      <c r="U19">
        <v>4</v>
      </c>
      <c r="V19">
        <v>2</v>
      </c>
      <c r="W19">
        <v>1</v>
      </c>
      <c r="X19">
        <v>1</v>
      </c>
      <c r="Y19">
        <v>0</v>
      </c>
      <c r="Z19">
        <v>1</v>
      </c>
      <c r="AA19">
        <v>1</v>
      </c>
      <c r="AB19">
        <v>1</v>
      </c>
      <c r="AC19">
        <v>1</v>
      </c>
      <c r="AD19">
        <v>5</v>
      </c>
      <c r="AE19">
        <v>5</v>
      </c>
      <c r="AF19">
        <v>4</v>
      </c>
      <c r="AG19">
        <v>4</v>
      </c>
      <c r="AH19">
        <v>1</v>
      </c>
      <c r="AI19">
        <v>5</v>
      </c>
      <c r="AJ19">
        <v>1</v>
      </c>
      <c r="AK19">
        <v>1</v>
      </c>
      <c r="AL19">
        <v>1</v>
      </c>
    </row>
    <row r="20" spans="1:38">
      <c r="A20" t="s">
        <v>86</v>
      </c>
      <c r="B20">
        <v>1</v>
      </c>
      <c r="C20">
        <v>6</v>
      </c>
      <c r="D20">
        <v>1</v>
      </c>
      <c r="E20">
        <v>0</v>
      </c>
      <c r="F20">
        <v>1</v>
      </c>
      <c r="G20">
        <v>1</v>
      </c>
      <c r="H20">
        <v>1</v>
      </c>
      <c r="I20">
        <v>0</v>
      </c>
      <c r="J20">
        <v>1</v>
      </c>
      <c r="K20">
        <v>1</v>
      </c>
      <c r="L20">
        <v>0</v>
      </c>
      <c r="M20">
        <v>1</v>
      </c>
      <c r="N20">
        <v>1</v>
      </c>
      <c r="O20">
        <v>0</v>
      </c>
      <c r="P20">
        <v>1</v>
      </c>
      <c r="Q20">
        <v>1</v>
      </c>
      <c r="R20">
        <v>1</v>
      </c>
      <c r="S20">
        <v>1</v>
      </c>
      <c r="T20">
        <v>4</v>
      </c>
      <c r="U20">
        <v>4</v>
      </c>
      <c r="V20">
        <v>2</v>
      </c>
      <c r="W20">
        <v>3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3</v>
      </c>
      <c r="AE20">
        <v>3</v>
      </c>
      <c r="AF20">
        <v>3</v>
      </c>
      <c r="AG20">
        <v>2</v>
      </c>
      <c r="AH20">
        <v>3</v>
      </c>
      <c r="AI20">
        <v>5</v>
      </c>
      <c r="AJ20">
        <v>1</v>
      </c>
      <c r="AK20">
        <v>2</v>
      </c>
      <c r="AL20">
        <v>1</v>
      </c>
    </row>
    <row r="21" spans="1:38">
      <c r="A21" t="s">
        <v>87</v>
      </c>
      <c r="B21">
        <v>1</v>
      </c>
      <c r="C21">
        <v>0</v>
      </c>
      <c r="D21">
        <v>1</v>
      </c>
      <c r="E21">
        <v>1</v>
      </c>
      <c r="F21">
        <v>0</v>
      </c>
      <c r="G21">
        <v>0</v>
      </c>
      <c r="H21">
        <v>1</v>
      </c>
      <c r="I21">
        <v>3</v>
      </c>
      <c r="J21">
        <v>1</v>
      </c>
      <c r="K21">
        <v>0</v>
      </c>
      <c r="L21">
        <v>1</v>
      </c>
      <c r="M21">
        <v>1</v>
      </c>
      <c r="N21">
        <v>1</v>
      </c>
      <c r="O21">
        <v>0</v>
      </c>
      <c r="P21">
        <v>3</v>
      </c>
      <c r="Q21">
        <v>1</v>
      </c>
      <c r="R21">
        <v>3</v>
      </c>
      <c r="S21">
        <v>2</v>
      </c>
      <c r="T21">
        <v>2</v>
      </c>
      <c r="U21">
        <v>5</v>
      </c>
      <c r="V21">
        <v>2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4</v>
      </c>
      <c r="AE21">
        <v>4</v>
      </c>
      <c r="AF21">
        <v>4</v>
      </c>
      <c r="AG21">
        <v>4</v>
      </c>
      <c r="AH21">
        <v>2</v>
      </c>
      <c r="AI21">
        <v>5</v>
      </c>
      <c r="AJ21">
        <v>2</v>
      </c>
      <c r="AK21">
        <v>1</v>
      </c>
      <c r="AL21">
        <v>1</v>
      </c>
    </row>
    <row r="22" spans="1:38">
      <c r="A22" t="s">
        <v>88</v>
      </c>
      <c r="B22">
        <v>1</v>
      </c>
      <c r="C22">
        <v>0</v>
      </c>
      <c r="D22">
        <v>1</v>
      </c>
      <c r="E22">
        <v>1</v>
      </c>
      <c r="F22">
        <v>0</v>
      </c>
      <c r="G22">
        <v>0</v>
      </c>
      <c r="H22">
        <v>1</v>
      </c>
      <c r="I22">
        <v>0.75</v>
      </c>
      <c r="J22">
        <v>1</v>
      </c>
      <c r="K22">
        <v>1</v>
      </c>
      <c r="L22">
        <v>0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2</v>
      </c>
      <c r="T22">
        <v>2</v>
      </c>
      <c r="U22">
        <v>4</v>
      </c>
      <c r="V22">
        <v>2</v>
      </c>
      <c r="W22">
        <v>3</v>
      </c>
      <c r="X22">
        <v>2</v>
      </c>
      <c r="Y22">
        <v>1</v>
      </c>
      <c r="Z22">
        <v>1</v>
      </c>
      <c r="AA22">
        <v>0</v>
      </c>
      <c r="AB22">
        <v>1</v>
      </c>
      <c r="AC22">
        <v>1</v>
      </c>
      <c r="AD22">
        <v>3</v>
      </c>
      <c r="AE22">
        <v>3</v>
      </c>
      <c r="AF22">
        <v>3</v>
      </c>
      <c r="AG22">
        <v>3</v>
      </c>
      <c r="AH22">
        <v>1</v>
      </c>
      <c r="AI22">
        <v>5</v>
      </c>
      <c r="AJ22">
        <v>1</v>
      </c>
      <c r="AK22">
        <v>3</v>
      </c>
      <c r="AL22">
        <v>1</v>
      </c>
    </row>
    <row r="23" spans="1:38">
      <c r="A23" t="s">
        <v>89</v>
      </c>
      <c r="B23">
        <v>1</v>
      </c>
      <c r="C23">
        <v>0</v>
      </c>
      <c r="D23">
        <v>1</v>
      </c>
      <c r="E23">
        <v>1</v>
      </c>
      <c r="F23">
        <v>0</v>
      </c>
      <c r="G23">
        <v>0</v>
      </c>
      <c r="H23">
        <v>1</v>
      </c>
      <c r="I23">
        <v>2</v>
      </c>
      <c r="J23">
        <v>0</v>
      </c>
      <c r="K23">
        <v>1</v>
      </c>
      <c r="L23">
        <v>0</v>
      </c>
      <c r="M23">
        <v>1</v>
      </c>
      <c r="N23">
        <v>1</v>
      </c>
      <c r="O23">
        <v>0</v>
      </c>
      <c r="P23">
        <v>1</v>
      </c>
      <c r="Q23">
        <v>1</v>
      </c>
      <c r="R23">
        <v>2</v>
      </c>
      <c r="S23">
        <v>1</v>
      </c>
      <c r="T23">
        <v>4</v>
      </c>
      <c r="U23">
        <v>3</v>
      </c>
      <c r="V23">
        <v>2</v>
      </c>
      <c r="W23">
        <v>4</v>
      </c>
      <c r="X23">
        <v>2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 spans="1:38">
      <c r="A24" t="s">
        <v>90</v>
      </c>
      <c r="B24">
        <v>1</v>
      </c>
      <c r="C24">
        <v>0</v>
      </c>
      <c r="D24">
        <v>1</v>
      </c>
      <c r="E24">
        <v>1</v>
      </c>
      <c r="F24">
        <v>0</v>
      </c>
      <c r="G24">
        <v>0</v>
      </c>
      <c r="H24">
        <v>1</v>
      </c>
      <c r="I24">
        <v>3</v>
      </c>
      <c r="J24">
        <v>1</v>
      </c>
      <c r="K24">
        <v>1</v>
      </c>
      <c r="L24">
        <v>0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5</v>
      </c>
      <c r="U24">
        <v>5</v>
      </c>
      <c r="V24">
        <v>1</v>
      </c>
      <c r="W24">
        <v>3</v>
      </c>
      <c r="X24">
        <v>4</v>
      </c>
      <c r="Y24">
        <v>0</v>
      </c>
      <c r="Z24">
        <v>1</v>
      </c>
      <c r="AA24">
        <v>1</v>
      </c>
      <c r="AB24">
        <v>1</v>
      </c>
      <c r="AC24">
        <v>1</v>
      </c>
      <c r="AD24">
        <v>5</v>
      </c>
      <c r="AE24">
        <v>5</v>
      </c>
      <c r="AF24">
        <v>5</v>
      </c>
      <c r="AG24">
        <v>5</v>
      </c>
      <c r="AH24">
        <v>1</v>
      </c>
      <c r="AI24">
        <v>5</v>
      </c>
      <c r="AJ24">
        <v>1</v>
      </c>
      <c r="AK24">
        <v>1</v>
      </c>
      <c r="AL24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CE32-1DB6-4B77-AA4D-368A813C12F5}">
  <dimension ref="A1:D103"/>
  <sheetViews>
    <sheetView topLeftCell="A86" workbookViewId="0">
      <selection activeCell="D104" sqref="D104"/>
    </sheetView>
  </sheetViews>
  <sheetFormatPr defaultRowHeight="15"/>
  <cols>
    <col min="1" max="1" width="20" customWidth="1"/>
    <col min="4" max="4" width="20.42578125" customWidth="1"/>
  </cols>
  <sheetData>
    <row r="1" spans="1:2">
      <c r="A1" s="7" t="s">
        <v>2</v>
      </c>
    </row>
    <row r="2" spans="1:2">
      <c r="A2" t="s">
        <v>4</v>
      </c>
      <c r="B2">
        <f>COUNTIF(Data!B2:B24,"0")</f>
        <v>6</v>
      </c>
    </row>
    <row r="3" spans="1:2">
      <c r="A3" t="s">
        <v>5</v>
      </c>
      <c r="B3">
        <f>COUNTIF(Data!B2:B24,"1")</f>
        <v>17</v>
      </c>
    </row>
    <row r="5" spans="1:2">
      <c r="A5" s="1" t="s">
        <v>8</v>
      </c>
    </row>
    <row r="6" spans="1:2">
      <c r="A6" t="s">
        <v>91</v>
      </c>
      <c r="B6">
        <f>COUNTIF(Data!C2:C24,"0")</f>
        <v>22</v>
      </c>
    </row>
    <row r="7" spans="1:2">
      <c r="A7" t="s">
        <v>6</v>
      </c>
      <c r="B7">
        <f>COUNTIF(Data!C2:C24,"6")</f>
        <v>1</v>
      </c>
    </row>
    <row r="9" spans="1:2">
      <c r="A9" s="1" t="s">
        <v>92</v>
      </c>
    </row>
    <row r="10" spans="1:2">
      <c r="A10" t="s">
        <v>15</v>
      </c>
      <c r="B10">
        <f>COUNTIF(Data!D2:D24,"1")</f>
        <v>23</v>
      </c>
    </row>
    <row r="11" spans="1:2">
      <c r="A11" t="s">
        <v>18</v>
      </c>
      <c r="B11">
        <f>COUNTIF(Data!E2:E24,"1")</f>
        <v>21</v>
      </c>
    </row>
    <row r="12" spans="1:2">
      <c r="A12" t="s">
        <v>19</v>
      </c>
      <c r="B12">
        <f>COUNTIF(Data!F2:F24,"1")</f>
        <v>3</v>
      </c>
    </row>
    <row r="13" spans="1:2">
      <c r="A13" t="s">
        <v>20</v>
      </c>
      <c r="B13">
        <f>COUNTIF(Data!G2:G24,"1")</f>
        <v>1</v>
      </c>
    </row>
    <row r="14" spans="1:2">
      <c r="A14" t="s">
        <v>93</v>
      </c>
      <c r="B14">
        <f>COUNTIF(Data!H2:H24,"1")</f>
        <v>21</v>
      </c>
    </row>
    <row r="16" spans="1:2">
      <c r="A16" t="s">
        <v>94</v>
      </c>
      <c r="B16">
        <f>AVERAGE(Data!I2:I24)</f>
        <v>2.2021739130434783</v>
      </c>
    </row>
    <row r="18" spans="1:4">
      <c r="A18" s="1" t="s">
        <v>95</v>
      </c>
      <c r="D18" s="1" t="s">
        <v>96</v>
      </c>
    </row>
    <row r="19" spans="1:4">
      <c r="A19" t="s">
        <v>25</v>
      </c>
      <c r="B19">
        <f>COUNTIF(Data!J2:J24,"1")</f>
        <v>21</v>
      </c>
      <c r="D19">
        <f>COUNTIF(Data!Y2:Y24,"1")</f>
        <v>20</v>
      </c>
    </row>
    <row r="20" spans="1:4">
      <c r="A20" t="s">
        <v>24</v>
      </c>
      <c r="B20">
        <f>COUNTIF(Data!J2:J24,"0")</f>
        <v>2</v>
      </c>
      <c r="D20">
        <f>COUNTIF(Data!Y2:Y24,"0")</f>
        <v>2</v>
      </c>
    </row>
    <row r="22" spans="1:4">
      <c r="A22" s="1" t="s">
        <v>97</v>
      </c>
      <c r="D22" s="1" t="s">
        <v>98</v>
      </c>
    </row>
    <row r="23" spans="1:4">
      <c r="A23" t="s">
        <v>25</v>
      </c>
      <c r="B23">
        <f>COUNTIF(Data!K2:K24,"1")</f>
        <v>20</v>
      </c>
      <c r="D23">
        <f>COUNTIF(Data!Z2:Z24,"1")</f>
        <v>21</v>
      </c>
    </row>
    <row r="24" spans="1:4">
      <c r="A24" t="s">
        <v>99</v>
      </c>
      <c r="B24">
        <f>COUNTIF(Data!K2:K24,"0")</f>
        <v>3</v>
      </c>
      <c r="D24">
        <f>COUNTIF(Data!Z2:Z24,"0")</f>
        <v>1</v>
      </c>
    </row>
    <row r="26" spans="1:4">
      <c r="A26" s="1" t="s">
        <v>100</v>
      </c>
      <c r="D26" s="1" t="s">
        <v>101</v>
      </c>
    </row>
    <row r="27" spans="1:4">
      <c r="A27" t="s">
        <v>25</v>
      </c>
      <c r="B27">
        <f>COUNTIF(Data!L2:L24,"1")</f>
        <v>4</v>
      </c>
      <c r="D27">
        <f>COUNTIF(Data!AA2:AA24,"1")</f>
        <v>15</v>
      </c>
    </row>
    <row r="28" spans="1:4">
      <c r="A28" t="s">
        <v>99</v>
      </c>
      <c r="B28">
        <f>COUNTIF(Data!L2:L24,"0")</f>
        <v>19</v>
      </c>
      <c r="D28">
        <f>COUNTIF(Data!AA2:AA24,"0")</f>
        <v>7</v>
      </c>
    </row>
    <row r="30" spans="1:4">
      <c r="A30" s="1" t="s">
        <v>102</v>
      </c>
      <c r="D30" s="1" t="s">
        <v>103</v>
      </c>
    </row>
    <row r="31" spans="1:4">
      <c r="A31" t="s">
        <v>25</v>
      </c>
      <c r="B31">
        <f>COUNTIF(Data!M2:M24,"1")</f>
        <v>21</v>
      </c>
      <c r="D31">
        <f>COUNTIF(Data!AB2:AB24,"1")</f>
        <v>22</v>
      </c>
    </row>
    <row r="32" spans="1:4">
      <c r="A32" t="s">
        <v>99</v>
      </c>
      <c r="B32">
        <f>COUNTIF(Data!M2:M24,"0")</f>
        <v>2</v>
      </c>
      <c r="D32">
        <f>COUNTIF(Data!AB2:AB24,"0")</f>
        <v>0</v>
      </c>
    </row>
    <row r="34" spans="1:4">
      <c r="A34" s="1" t="s">
        <v>104</v>
      </c>
      <c r="D34" s="1" t="s">
        <v>105</v>
      </c>
    </row>
    <row r="35" spans="1:4">
      <c r="A35" t="s">
        <v>25</v>
      </c>
      <c r="B35">
        <f>COUNTIF(Data!N2:N24,"1")</f>
        <v>22</v>
      </c>
      <c r="D35">
        <f>COUNTIF(Data!AC2:AC24,"1")</f>
        <v>21</v>
      </c>
    </row>
    <row r="36" spans="1:4">
      <c r="A36" t="s">
        <v>99</v>
      </c>
      <c r="B36">
        <f>COUNTIF(Data!N2:N24,"0")</f>
        <v>1</v>
      </c>
      <c r="D36">
        <f>COUNTIF(Data!AC2:AC24,"0")</f>
        <v>1</v>
      </c>
    </row>
    <row r="38" spans="1:4">
      <c r="A38" s="1" t="s">
        <v>106</v>
      </c>
    </row>
    <row r="39" spans="1:4">
      <c r="A39" t="s">
        <v>17</v>
      </c>
      <c r="B39">
        <f>COUNTIF(Data!O2:O24,"1")</f>
        <v>0</v>
      </c>
    </row>
    <row r="40" spans="1:4">
      <c r="A40" t="s">
        <v>16</v>
      </c>
      <c r="B40">
        <f>COUNTIF(Data!O2:O24,"0")</f>
        <v>23</v>
      </c>
    </row>
    <row r="42" spans="1:4">
      <c r="A42" s="1" t="s">
        <v>107</v>
      </c>
      <c r="D42" s="7" t="s">
        <v>108</v>
      </c>
    </row>
    <row r="43" spans="1:4">
      <c r="A43">
        <v>1</v>
      </c>
      <c r="B43">
        <f>COUNTIF(Data!P2:P24,"1")</f>
        <v>13</v>
      </c>
      <c r="D43">
        <f>COUNTIF(Data!AD2:AD24,"1")</f>
        <v>0</v>
      </c>
    </row>
    <row r="44" spans="1:4">
      <c r="A44">
        <v>2</v>
      </c>
      <c r="B44">
        <f>COUNTIF(Data!P2:P24,"2")</f>
        <v>3</v>
      </c>
      <c r="D44">
        <f>COUNTIF(Data!AD2:AD24,"2")</f>
        <v>0</v>
      </c>
    </row>
    <row r="45" spans="1:4">
      <c r="A45">
        <v>3</v>
      </c>
      <c r="B45">
        <f>COUNTIF(Data!P2:P24,"3")</f>
        <v>5</v>
      </c>
      <c r="D45">
        <f>COUNTIF(Data!AD2:AD24,"3")</f>
        <v>7</v>
      </c>
    </row>
    <row r="46" spans="1:4">
      <c r="A46">
        <v>4</v>
      </c>
      <c r="B46">
        <f>COUNTIF(Data!P2:P24,"4")</f>
        <v>0</v>
      </c>
      <c r="D46">
        <f>COUNTIF(Data!AD2:AD24,"4")</f>
        <v>12</v>
      </c>
    </row>
    <row r="47" spans="1:4">
      <c r="A47">
        <v>5</v>
      </c>
      <c r="B47">
        <f>COUNTIF(Data!P2:P24,"5")</f>
        <v>0</v>
      </c>
      <c r="D47">
        <f>COUNTIF(Data!AD2:AD24,"5")</f>
        <v>3</v>
      </c>
    </row>
    <row r="49" spans="1:4">
      <c r="A49" s="1" t="s">
        <v>109</v>
      </c>
      <c r="D49" s="1" t="s">
        <v>110</v>
      </c>
    </row>
    <row r="50" spans="1:4">
      <c r="A50">
        <v>1</v>
      </c>
      <c r="B50">
        <f>COUNTIF(Data!Q2:Q24,"1")</f>
        <v>19</v>
      </c>
      <c r="D50">
        <f>COUNTIF(Data!AE2:AE24,"1")</f>
        <v>0</v>
      </c>
    </row>
    <row r="51" spans="1:4">
      <c r="A51">
        <v>2</v>
      </c>
      <c r="B51">
        <f>COUNTIF(Data!Q2:Q24,"2")</f>
        <v>1</v>
      </c>
      <c r="D51">
        <f>COUNTIF(Data!AE2:AE24,"2")</f>
        <v>0</v>
      </c>
    </row>
    <row r="52" spans="1:4">
      <c r="A52">
        <v>3</v>
      </c>
      <c r="B52">
        <f>COUNTIF(Data!Q2:Q24,"3")</f>
        <v>1</v>
      </c>
      <c r="D52">
        <f>COUNTIF(Data!AE2:AE24,"3")</f>
        <v>5</v>
      </c>
    </row>
    <row r="53" spans="1:4">
      <c r="A53">
        <v>4</v>
      </c>
      <c r="B53">
        <f>COUNTIF(Data!Q2:Q24,"4")</f>
        <v>0</v>
      </c>
      <c r="D53">
        <f>COUNTIF(Data!AE2:AE24,"4")</f>
        <v>13</v>
      </c>
    </row>
    <row r="54" spans="1:4">
      <c r="A54">
        <v>5</v>
      </c>
      <c r="B54">
        <f>COUNTIF(Data!Q2:Q24,"5")</f>
        <v>0</v>
      </c>
      <c r="D54">
        <f>COUNTIF(Data!AE2:AE24,"5")</f>
        <v>4</v>
      </c>
    </row>
    <row r="56" spans="1:4">
      <c r="A56" s="1" t="s">
        <v>111</v>
      </c>
      <c r="D56" s="1" t="s">
        <v>112</v>
      </c>
    </row>
    <row r="57" spans="1:4">
      <c r="A57">
        <v>1</v>
      </c>
      <c r="B57">
        <f>COUNTIF(Data!R2:R24,"1")</f>
        <v>11</v>
      </c>
      <c r="D57">
        <f>COUNTIF(Data!AF2:AF24,"1")</f>
        <v>0</v>
      </c>
    </row>
    <row r="58" spans="1:4">
      <c r="A58">
        <v>2</v>
      </c>
      <c r="B58">
        <f>COUNTIF(Data!R2:R24,"2")</f>
        <v>5</v>
      </c>
      <c r="D58">
        <f>COUNTIF(Data!AF2:AF24,"2")</f>
        <v>1</v>
      </c>
    </row>
    <row r="59" spans="1:4">
      <c r="A59">
        <v>3</v>
      </c>
      <c r="B59">
        <f>COUNTIF(Data!R2:R24,"3")</f>
        <v>5</v>
      </c>
      <c r="D59">
        <f>COUNTIF(Data!AF2:AF24,"3")</f>
        <v>4</v>
      </c>
    </row>
    <row r="60" spans="1:4">
      <c r="A60">
        <v>4</v>
      </c>
      <c r="B60">
        <f>COUNTIF(Data!R2:R24,"4")</f>
        <v>0</v>
      </c>
      <c r="D60">
        <f>COUNTIF(Data!AF2:AF24,"4")</f>
        <v>14</v>
      </c>
    </row>
    <row r="61" spans="1:4">
      <c r="A61">
        <v>5</v>
      </c>
      <c r="B61">
        <f>COUNTIF(Data!R2:R24,"5")</f>
        <v>0</v>
      </c>
      <c r="D61">
        <f>COUNTIF(Data!AF2:AF24,"5")</f>
        <v>3</v>
      </c>
    </row>
    <row r="63" spans="1:4">
      <c r="A63" s="1" t="s">
        <v>113</v>
      </c>
      <c r="D63" s="1" t="s">
        <v>114</v>
      </c>
    </row>
    <row r="64" spans="1:4">
      <c r="A64">
        <v>1</v>
      </c>
      <c r="B64">
        <f>COUNTIF(Data!S2:S24,"1")</f>
        <v>14</v>
      </c>
      <c r="D64">
        <f>COUNTIF(Data!AG2:AG24,"1")</f>
        <v>1</v>
      </c>
    </row>
    <row r="65" spans="1:4">
      <c r="A65">
        <v>2</v>
      </c>
      <c r="B65">
        <f>COUNTIF(Data!S2:S24,"2")</f>
        <v>5</v>
      </c>
      <c r="D65">
        <f>COUNTIF(Data!AG2:AG24,"2")</f>
        <v>3</v>
      </c>
    </row>
    <row r="66" spans="1:4">
      <c r="A66">
        <v>3</v>
      </c>
      <c r="B66">
        <f>COUNTIF(Data!S2:S24,"3")</f>
        <v>1</v>
      </c>
      <c r="D66">
        <f>COUNTIF(Data!AG2:AG24,"3")</f>
        <v>6</v>
      </c>
    </row>
    <row r="67" spans="1:4">
      <c r="A67">
        <v>4</v>
      </c>
      <c r="B67">
        <f>COUNTIF(Data!S2:S24,"4")</f>
        <v>1</v>
      </c>
      <c r="D67">
        <f>COUNTIF(Data!AG2:AG24,"4")</f>
        <v>10</v>
      </c>
    </row>
    <row r="68" spans="1:4">
      <c r="A68">
        <v>5</v>
      </c>
      <c r="B68">
        <f>COUNTIF(Data!S2:S24,"5")</f>
        <v>0</v>
      </c>
      <c r="D68">
        <f>COUNTIF(Data!AG2:AG24,"5")</f>
        <v>2</v>
      </c>
    </row>
    <row r="70" spans="1:4">
      <c r="A70" s="1" t="s">
        <v>115</v>
      </c>
      <c r="D70" s="1" t="s">
        <v>116</v>
      </c>
    </row>
    <row r="71" spans="1:4">
      <c r="A71">
        <v>1</v>
      </c>
      <c r="B71">
        <f>COUNTIF(Data!T2:T24,"1")</f>
        <v>2</v>
      </c>
      <c r="D71">
        <f>COUNTIF(Data!AH2:AH24,"1")</f>
        <v>8</v>
      </c>
    </row>
    <row r="72" spans="1:4">
      <c r="A72">
        <v>2</v>
      </c>
      <c r="B72">
        <f>COUNTIF(Data!T2:T24,"2")</f>
        <v>6</v>
      </c>
      <c r="D72">
        <f>COUNTIF(Data!AH2:AH24,"2")</f>
        <v>6</v>
      </c>
    </row>
    <row r="73" spans="1:4">
      <c r="A73">
        <v>3</v>
      </c>
      <c r="B73">
        <f>COUNTIF(Data!T2:T24,"3")</f>
        <v>9</v>
      </c>
      <c r="D73">
        <f>COUNTIF(Data!AH2:AH24,"3")</f>
        <v>3</v>
      </c>
    </row>
    <row r="74" spans="1:4">
      <c r="A74">
        <v>4</v>
      </c>
      <c r="B74">
        <f>COUNTIF(Data!T2:T24,"4")</f>
        <v>5</v>
      </c>
      <c r="D74">
        <f>COUNTIF(Data!AH2:AH24,"4")</f>
        <v>3</v>
      </c>
    </row>
    <row r="75" spans="1:4">
      <c r="A75">
        <v>5</v>
      </c>
      <c r="B75">
        <f>COUNTIF(Data!T2:T24,"5")</f>
        <v>1</v>
      </c>
      <c r="D75">
        <f>COUNTIF(Data!AH2:AH24,"5")</f>
        <v>0</v>
      </c>
    </row>
    <row r="77" spans="1:4">
      <c r="A77" s="1" t="s">
        <v>117</v>
      </c>
      <c r="D77" s="1" t="s">
        <v>118</v>
      </c>
    </row>
    <row r="78" spans="1:4">
      <c r="A78">
        <v>1</v>
      </c>
      <c r="B78">
        <f>COUNTIF(Data!U2:U24,"1")</f>
        <v>0</v>
      </c>
      <c r="D78">
        <f>COUNTIF(Data!AI2:AI24,"1")</f>
        <v>0</v>
      </c>
    </row>
    <row r="79" spans="1:4">
      <c r="A79">
        <v>2</v>
      </c>
      <c r="B79">
        <f>COUNTIF(Data!U2:U24,"2")</f>
        <v>0</v>
      </c>
      <c r="D79">
        <f>COUNTIF(Data!AI2:AI24,"2")</f>
        <v>1</v>
      </c>
    </row>
    <row r="80" spans="1:4">
      <c r="A80">
        <v>3</v>
      </c>
      <c r="B80">
        <f>COUNTIF(Data!U2:U24,"3")</f>
        <v>2</v>
      </c>
      <c r="D80">
        <f>COUNTIF(Data!AI2:AI24,"3")</f>
        <v>1</v>
      </c>
    </row>
    <row r="81" spans="1:4">
      <c r="A81">
        <v>4</v>
      </c>
      <c r="B81">
        <f>COUNTIF(Data!U2:U24,"4")</f>
        <v>14</v>
      </c>
      <c r="D81">
        <f>COUNTIF(Data!AI2:AI24,"4")</f>
        <v>2</v>
      </c>
    </row>
    <row r="82" spans="1:4">
      <c r="A82">
        <v>5</v>
      </c>
      <c r="B82">
        <f>COUNTIF(Data!U2:U24,"5")</f>
        <v>7</v>
      </c>
      <c r="D82">
        <f>COUNTIF(Data!AI2:AI24,"5")</f>
        <v>16</v>
      </c>
    </row>
    <row r="84" spans="1:4">
      <c r="A84" s="1" t="s">
        <v>119</v>
      </c>
      <c r="D84" s="1" t="s">
        <v>120</v>
      </c>
    </row>
    <row r="85" spans="1:4">
      <c r="A85">
        <v>1</v>
      </c>
      <c r="B85">
        <f>COUNTIF(Data!V2:V24,"1")</f>
        <v>3</v>
      </c>
      <c r="D85">
        <f>COUNTIF(Data!AJ2:AJ24,"1")</f>
        <v>9</v>
      </c>
    </row>
    <row r="86" spans="1:4">
      <c r="A86">
        <v>2</v>
      </c>
      <c r="B86">
        <f>COUNTIF(Data!V2:V24,"2")</f>
        <v>12</v>
      </c>
      <c r="D86">
        <f>COUNTIF(Data!AJ2:AJ24,"2")</f>
        <v>9</v>
      </c>
    </row>
    <row r="87" spans="1:4">
      <c r="A87">
        <v>3</v>
      </c>
      <c r="B87">
        <f>COUNTIF(Data!V2:V24,"3")</f>
        <v>4</v>
      </c>
      <c r="D87">
        <f>COUNTIF(Data!AJ2:AJ24,"3")</f>
        <v>0</v>
      </c>
    </row>
    <row r="88" spans="1:4">
      <c r="A88">
        <v>4</v>
      </c>
      <c r="B88">
        <f>COUNTIF(Data!V2:V24,"4")</f>
        <v>4</v>
      </c>
      <c r="D88">
        <f>COUNTIF(Data!AJ2:AJ24,"4")</f>
        <v>2</v>
      </c>
    </row>
    <row r="89" spans="1:4">
      <c r="A89">
        <v>5</v>
      </c>
      <c r="B89">
        <f>COUNTIF(Data!V2:V24,"5")</f>
        <v>0</v>
      </c>
      <c r="D89">
        <f>COUNTIF(Data!AJ2:AJ24,"5")</f>
        <v>0</v>
      </c>
    </row>
    <row r="91" spans="1:4">
      <c r="A91" s="1" t="s">
        <v>121</v>
      </c>
      <c r="D91" s="1" t="s">
        <v>122</v>
      </c>
    </row>
    <row r="92" spans="1:4">
      <c r="A92">
        <v>1</v>
      </c>
      <c r="B92">
        <f>COUNTIF(Data!W2:W24,"1")</f>
        <v>4</v>
      </c>
      <c r="D92">
        <f>COUNTIF(Data!AK2:AK24,"1")</f>
        <v>10</v>
      </c>
    </row>
    <row r="93" spans="1:4">
      <c r="A93">
        <v>2</v>
      </c>
      <c r="B93">
        <f>COUNTIF(Data!W2:W24,"2")</f>
        <v>6</v>
      </c>
      <c r="D93">
        <f>COUNTIF(Data!AK2:AK24,"2")</f>
        <v>6</v>
      </c>
    </row>
    <row r="94" spans="1:4">
      <c r="A94">
        <v>3</v>
      </c>
      <c r="B94">
        <f>COUNTIF(Data!W2:W24,"3")</f>
        <v>10</v>
      </c>
      <c r="D94">
        <f>COUNTIF(Data!AK2:AK24,"3")</f>
        <v>2</v>
      </c>
    </row>
    <row r="95" spans="1:4">
      <c r="A95">
        <v>4</v>
      </c>
      <c r="B95">
        <f>COUNTIF(Data!W2:W24,"4")</f>
        <v>3</v>
      </c>
      <c r="D95">
        <f>COUNTIF(Data!AK2:AK24,"4")</f>
        <v>0</v>
      </c>
    </row>
    <row r="96" spans="1:4">
      <c r="A96">
        <v>5</v>
      </c>
      <c r="B96">
        <f>COUNTIF(Data!W2:W24,"5")</f>
        <v>0</v>
      </c>
      <c r="D96">
        <f>COUNTIF(Data!AK2:AK24,"5")</f>
        <v>2</v>
      </c>
    </row>
    <row r="98" spans="1:4">
      <c r="A98" s="1" t="s">
        <v>123</v>
      </c>
      <c r="D98" s="1" t="s">
        <v>124</v>
      </c>
    </row>
    <row r="99" spans="1:4">
      <c r="A99">
        <v>1</v>
      </c>
      <c r="B99">
        <f>COUNTIF(Data!X2:X24,"1")</f>
        <v>13</v>
      </c>
      <c r="D99">
        <f>COUNTIF(Data!AL2:AL24,"1")</f>
        <v>17</v>
      </c>
    </row>
    <row r="100" spans="1:4">
      <c r="A100">
        <v>2</v>
      </c>
      <c r="B100">
        <f>COUNTIF(Data!X2:X24,"2")</f>
        <v>8</v>
      </c>
      <c r="D100">
        <f>COUNTIF(Data!AL2:AL24,"2")</f>
        <v>1</v>
      </c>
    </row>
    <row r="101" spans="1:4">
      <c r="A101">
        <v>3</v>
      </c>
      <c r="B101">
        <f>COUNTIF(Data!X2:X24,"3")</f>
        <v>1</v>
      </c>
      <c r="D101">
        <f>COUNTIF(Data!AL2:AL24,"3")</f>
        <v>1</v>
      </c>
    </row>
    <row r="102" spans="1:4">
      <c r="A102">
        <v>4</v>
      </c>
      <c r="B102">
        <f>COUNTIF(Data!X2:X24,"4")</f>
        <v>1</v>
      </c>
      <c r="D102">
        <f>COUNTIF(Data!AL2:AL24,"4")</f>
        <v>1</v>
      </c>
    </row>
    <row r="103" spans="1:4">
      <c r="A103">
        <v>5</v>
      </c>
      <c r="B103">
        <f>COUNTIF(Data!X2:X24,"5")</f>
        <v>0</v>
      </c>
      <c r="D103">
        <f>COUNTIF(Data!AL2:AL24,"5")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2026-04-13T15:26:12Z</dcterms:created>
  <dcterms:modified xsi:type="dcterms:W3CDTF">2026-04-17T15:33:22Z</dcterms:modified>
  <cp:category/>
  <cp:contentStatus/>
</cp:coreProperties>
</file>